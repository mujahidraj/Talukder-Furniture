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Product Price List\"/>
    </mc:Choice>
  </mc:AlternateContent>
  <bookViews>
    <workbookView xWindow="0" yWindow="0" windowWidth="28800" windowHeight="12435"/>
  </bookViews>
  <sheets>
    <sheet name="File Cabinet" sheetId="2" r:id="rId1"/>
  </sheets>
  <definedNames>
    <definedName name="_xlnm.Print_Area" localSheetId="0">'File Cabinet'!$B$1:$R$8</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 i="2" l="1"/>
  <c r="L7" i="2"/>
  <c r="L8" i="2"/>
  <c r="L5" i="2"/>
</calcChain>
</file>

<file path=xl/sharedStrings.xml><?xml version="1.0" encoding="utf-8"?>
<sst xmlns="http://schemas.openxmlformats.org/spreadsheetml/2006/main" count="69" uniqueCount="43">
  <si>
    <t xml:space="preserve">Product Name </t>
  </si>
  <si>
    <t>Talukder Furniture Ltd.</t>
  </si>
  <si>
    <t>DP</t>
  </si>
  <si>
    <t>MRP</t>
  </si>
  <si>
    <t>SL No</t>
  </si>
  <si>
    <t>Product Code</t>
  </si>
  <si>
    <t>Category</t>
  </si>
  <si>
    <t>Measurement</t>
  </si>
  <si>
    <t>Color</t>
  </si>
  <si>
    <t>Price</t>
  </si>
  <si>
    <t>Main</t>
  </si>
  <si>
    <t>Sub</t>
  </si>
  <si>
    <t>Discount</t>
  </si>
  <si>
    <t xml:space="preserve">Picture </t>
  </si>
  <si>
    <t xml:space="preserve">Office furniture </t>
  </si>
  <si>
    <t>TFL-FCO-501 MT</t>
  </si>
  <si>
    <t>TFL-FCO-502 MT</t>
  </si>
  <si>
    <t>TFL-FCO-503 MT</t>
  </si>
  <si>
    <t>TFL-FCO-504 MT</t>
  </si>
  <si>
    <t>Office File Cabinet</t>
  </si>
  <si>
    <t>Combined File Cabinet</t>
  </si>
  <si>
    <t>Size: L 480 x W 610 x H 750 mm</t>
  </si>
  <si>
    <t>Size: L 480 x W 610 x H 1070  mm</t>
  </si>
  <si>
    <t>Size: L 480 x W 610 x H 1400 mm</t>
  </si>
  <si>
    <t>Size: L 1050 x W610 x H 1070 mm</t>
  </si>
  <si>
    <t xml:space="preserve">File Cabinet </t>
  </si>
  <si>
    <t xml:space="preserve">Mild Steel </t>
  </si>
  <si>
    <t xml:space="preserve">Gray/Black Color </t>
  </si>
  <si>
    <t>Office Furniture Specifications</t>
  </si>
  <si>
    <t>Description</t>
  </si>
  <si>
    <t>Care and Maintenance</t>
  </si>
  <si>
    <t>Warranty policy</t>
  </si>
  <si>
    <t>Return and exchange policy</t>
  </si>
  <si>
    <t>Meterials</t>
  </si>
  <si>
    <t>Keep your important documents secure, organized, and easily accessible with this heavy-duty 2-Drawer Metal Filing Cabinet, designed for modern corporate offices, home workspaces, and professional environments. Combining industrial-strength construction with a sleek dual-tone finish, this filing cabinet provides a reliable storage solution for confidential files, legal documents, and office essentials.
Manufactured from high-quality Mild Steel (MS) Sheet, this filing cabinet offers exceptional structural strength, impact resistance, and long-lasting durability for daily office use. The premium powder-coated finish provides excellent protection against rust, scratches, corrosion, and general wear while maintaining a clean and professional appearance.
Featuring two spacious drawers with smooth sliding mechanisms, this cabinet allows easy access to files and documents even under heavy loads. The integrated central locking system ensures secure storage of confidential paperwork, personal belongings, and important office records.
The modern dual-tone design, combining a dark charcoal/black body with clean white drawer fronts, adds a contemporary professional look that blends seamlessly with executive offices, workstations, and study areas.
Ideal for corporate offices, filing rooms, executive cabins, home offices, and document storage areas requiring secure and efficient organization.</t>
  </si>
  <si>
    <t>Keep your important documents secure, organized, and easily accessible with this heavy-duty 3-Drawer Metal Filing Cabinet, designed for commercial offices, corporate archives, and professional workspaces. Featuring a tall vertical design and modern dual-tone finish, this filing cabinet provides maximum storage capacity while optimizing floor space.
Manufactured from high-quality Mild Steel (MS) Sheet, this cabinet offers exceptional structural strength, impact resistance, and long-lasting durability for demanding office environments. The premium anti-rust powder-coated finish protects the surface from corrosion, moisture, scratches, and daily wear while maintaining a clean and professional appearance.
Equipped with three spacious drawers and heavy-duty sliding mechanisms, this filing cabinet ensures smooth operation even when fully loaded with documents, files, and office records. The integrated central locking system provides secure protection for confidential files, legal documents, and personal belongings with convenient single-key access.
The modern dual-tone design, combining a dark charcoal/black body with grey/off-white drawer fronts, creates a sleek and professional appearance that complements contemporary office interiors.
Ideal for corporate offices, archive rooms, executive cabins, government offices, home workspaces, and document storage areas requiring secure and efficient filing solutions.</t>
  </si>
  <si>
    <t>• Clean the filing cabinet regularly with a soft, dry microfiber cloth to remove dust and maintain its professional appearance.
• Use a slightly damp cloth for cleaning when required and wipe dry immediately to prevent moisture accumulation.
• Avoid using harsh chemicals, abrasive cleaners, or sharp objects that may damage the powder-coated finish.
• Clean spills immediately to prevent stains, moisture buildup, and potential surface corrosion.
• Keep the cabinet in a dry indoor environment and avoid prolonged exposure to water, humidity, direct sunlight, or excessive heat.
• Do not overload drawers beyond the recommended weight capacity to maintain smooth operation and structural stability.
• Distribute files and documents evenly inside the drawers to prevent imbalance and ensure smooth sliding movement.
• Open and close drawers gently to protect the locking system, handles, and sliding channels.
• Periodically check and lubricate drawer runners/sliding channels if required for smooth performance.
• Regularly inspect the locking system, screws, and fittings to ensure proper functionality and security.
• Avoid dragging or forcefully moving the cabinet; lift carefully during relocation to prevent damage.
• Use the product in a clean, dry office environment for maximum durability and long-lasting performance.</t>
  </si>
  <si>
    <t>Warranty Period: 1 Year Limited Warranty
Warranty Covers:
• Manufacturing defects in the metal filing cabinet structure, MS sheet body, drawers, locking system, and components under normal usage conditions.
• Structural issues caused by verified production defects.
• Defects in factory-installed hardware, drawer runners, lock mechanism, handles, and fittings.
• Material and workmanship defects identified during the warranty period.
• Defects in the factory-applied powder-coated finish under normal indoor usage conditions.
Warranty Does Not Cover:
• Damage caused by misuse, overloading, accidental impact, or improper handling.
• Scratches, dents, surface damage, or normal wear and tear from everyday office use.
• Damage caused by water exposure, excessive moisture, rust due to improper maintenance, fire, or extreme environmental conditions.
• Damage resulting from harsh chemicals, abrasive cleaning, or improper care.
• Unauthorized modification, repair, or alteration of the product.
• Damage caused during relocation, transportation, or incorrect installation after delivery.
• Damage caused by exceeding the recommended drawer load capacity.
• Minor color variations or finish differences due to lighting and production processes.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</si>
  <si>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made-to-order products are not eligible for return unless there is a verified manufacturing defect.
• Damage caused by misuse, overloading, water exposure, scratches, dents, rust due to improper care, improper handling, or unauthorized modification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powder-coated finish differences, or damage caused by customer handling.
• Approved exchange services will be processed according to company transportation and installation policies.</t>
  </si>
  <si>
    <t>Maximize your office storage efficiency with this heavy-duty 4-Drawer Metal Filing Cabinet, designed for high-density document organization and long-term commercial use. Featuring a vertical tower design and modern dual-tone finish, this filing cabinet provides a secure, durable, and space-efficient storage solution for corporate offices, archive rooms, and professional workspaces.
Manufactured from high-quality Mild Steel (MS) Sheet, this filing cabinet offers excellent structural strength, superior load capacity, impact resistance, and long-lasting durability under demanding office conditions. The premium anti-rust powder-coated finish protects the metal surface from corrosion, moisture, scratches, and daily wear while maintaining a clean and professional appearance.
Equipped with four spacious drawers and heavy-duty sliding mechanisms, this cabinet allows smooth and easy access to files, binders, folders, and important documents even under heavy loads. The integrated central locking system securely locks all four drawers simultaneously, ensuring the safety of confidential records, official documents, and personal belongings.
The modern dual-tone design, featuring a dark charcoal/black body with grey/off-white drawer fronts, creates a sleek and organized appearance that complements contemporary office interiors.
Ideal for corporate offices, archive rooms, filing departments, executive cabins, educational institutions, and professional document storage environments requiring maximum security and organization.</t>
  </si>
  <si>
    <t>Upgrade your office organization with this versatile Combination Metal Storage Cabinet, designed to provide a smart and efficient solution for storing both documents and larger office essentials. Featuring a practical dual-zone storage layout with multiple drawers and a spacious side locker, this cabinet keeps files, folders, stationery, and personal items neatly arranged and securely protected.
Manufactured from high-quality Mild Steel (MS) Sheet, this storage cabinet offers excellent structural strength, dent resistance, high load-bearing capacity, and long-lasting durability for demanding office environments. The premium anti-rust powder-coated finish protects the metal surface from corrosion, moisture, scratches, and daily wear while maintaining a clean and professional appearance.
The cabinet features three smooth-gliding drawers equipped with reliable telescopic runners, providing convenient storage for files, folders, stationery, and frequently used office items. The spacious side door locker offers vertical storage space for larger belongings such as backpacks, bulk files, office equipment, and personal essentials.
A secure locking system helps protect confidential documents and valuable items, ensuring safe and organized storage. The modern dual-tone design, combining a dark charcoal/black body with grey/off-white drawer and door fronts, adds a sleek contemporary appearance to any office interior.
Ideal for corporate offices, executive cabins, filing rooms, educational institutions, government offices, and professional workspaces requiring flexible and secure storage solutions.</t>
  </si>
  <si>
    <t xml:space="preserve">Sub-Sub </t>
  </si>
  <si>
    <t>Office Storage</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</si>
</sst>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sz val="16"/>
      <color rgb="FF000000"/>
      <name val="Times New Roman"/>
      <family val="2"/>
    </font>
    <font>
      <b/>
      <sz val="30"/>
      <name val="Times New Roman"/>
      <family val="1"/>
    </font>
    <font>
      <b/>
      <sz val="20"/>
      <name val="Times New Roman"/>
      <family val="1"/>
    </font>
    <font>
      <b/>
      <sz val="16"/>
      <color theme="1"/>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5">
    <xf numFmtId="0" fontId="0" fillId="0" borderId="0" xfId="0" applyAlignment="1">
      <alignment horizontal="left" vertical="top"/>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9" fontId="5" fillId="3"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top" wrapText="1"/>
    </xf>
    <xf numFmtId="1" fontId="7" fillId="0" borderId="1" xfId="0" applyNumberFormat="1" applyFont="1" applyBorder="1" applyAlignment="1">
      <alignment horizontal="center" vertical="center" shrinkToFit="1"/>
    </xf>
    <xf numFmtId="0" fontId="3" fillId="2" borderId="10" xfId="0" applyFont="1" applyFill="1" applyBorder="1" applyAlignment="1">
      <alignment horizontal="center" vertical="center" wrapText="1"/>
    </xf>
    <xf numFmtId="0" fontId="4" fillId="4" borderId="3" xfId="0" applyFont="1" applyFill="1" applyBorder="1" applyAlignment="1">
      <alignment horizontal="left" vertical="top" wrapText="1"/>
    </xf>
    <xf numFmtId="0" fontId="3" fillId="2" borderId="3" xfId="0" applyFont="1" applyFill="1" applyBorder="1" applyAlignment="1">
      <alignment horizontal="center" vertical="center" wrapText="1"/>
    </xf>
    <xf numFmtId="0" fontId="8" fillId="0" borderId="0" xfId="0" applyFont="1" applyAlignment="1">
      <alignment horizontal="center" vertical="center" wrapText="1"/>
    </xf>
    <xf numFmtId="0" fontId="8" fillId="0" borderId="8" xfId="0" applyFont="1" applyBorder="1" applyAlignment="1">
      <alignment horizontal="center" vertical="center" wrapText="1"/>
    </xf>
    <xf numFmtId="0" fontId="9" fillId="0" borderId="7" xfId="0" applyFont="1" applyBorder="1" applyAlignment="1">
      <alignment horizontal="center" vertical="center" wrapText="1"/>
    </xf>
    <xf numFmtId="0" fontId="9" fillId="0" borderId="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10"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969357" y="66673"/>
          <a:ext cx="1551214" cy="914401"/>
        </a:xfrm>
        <a:prstGeom prst="rect">
          <a:avLst/>
        </a:prstGeom>
      </xdr:spPr>
    </xdr:pic>
    <xdr:clientData/>
  </xdr:twoCellAnchor>
  <xdr:twoCellAnchor>
    <xdr:from>
      <xdr:col>4</xdr:col>
      <xdr:colOff>315108</xdr:colOff>
      <xdr:row>4</xdr:row>
      <xdr:rowOff>74253</xdr:rowOff>
    </xdr:from>
    <xdr:to>
      <xdr:col>4</xdr:col>
      <xdr:colOff>1080873</xdr:colOff>
      <xdr:row>4</xdr:row>
      <xdr:rowOff>862853</xdr:rowOff>
    </xdr:to>
    <xdr:pic>
      <xdr:nvPicPr>
        <xdr:cNvPr id="487" name="image145.jpeg">
          <a:extLst>
            <a:ext uri="{FF2B5EF4-FFF2-40B4-BE49-F238E27FC236}">
              <a16:creationId xmlns="" xmlns:a16="http://schemas.microsoft.com/office/drawing/2014/main" id="{00000000-0008-0000-0100-0000E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00873" y="168352988"/>
          <a:ext cx="765765" cy="788600"/>
        </a:xfrm>
        <a:prstGeom prst="rect">
          <a:avLst/>
        </a:prstGeom>
      </xdr:spPr>
    </xdr:pic>
    <xdr:clientData/>
  </xdr:twoCellAnchor>
  <xdr:twoCellAnchor>
    <xdr:from>
      <xdr:col>4</xdr:col>
      <xdr:colOff>385325</xdr:colOff>
      <xdr:row>5</xdr:row>
      <xdr:rowOff>42900</xdr:rowOff>
    </xdr:from>
    <xdr:to>
      <xdr:col>4</xdr:col>
      <xdr:colOff>1031529</xdr:colOff>
      <xdr:row>5</xdr:row>
      <xdr:rowOff>974911</xdr:rowOff>
    </xdr:to>
    <xdr:pic>
      <xdr:nvPicPr>
        <xdr:cNvPr id="489" name="image147.jpeg">
          <a:extLst>
            <a:ext uri="{FF2B5EF4-FFF2-40B4-BE49-F238E27FC236}">
              <a16:creationId xmlns="" xmlns:a16="http://schemas.microsoft.com/office/drawing/2014/main" id="{00000000-0008-0000-0100-0000E9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71090" y="169330165"/>
          <a:ext cx="646204" cy="932011"/>
        </a:xfrm>
        <a:prstGeom prst="rect">
          <a:avLst/>
        </a:prstGeom>
      </xdr:spPr>
    </xdr:pic>
    <xdr:clientData/>
  </xdr:twoCellAnchor>
  <xdr:twoCellAnchor>
    <xdr:from>
      <xdr:col>4</xdr:col>
      <xdr:colOff>407736</xdr:colOff>
      <xdr:row>6</xdr:row>
      <xdr:rowOff>28468</xdr:rowOff>
    </xdr:from>
    <xdr:to>
      <xdr:col>4</xdr:col>
      <xdr:colOff>968790</xdr:colOff>
      <xdr:row>6</xdr:row>
      <xdr:rowOff>997324</xdr:rowOff>
    </xdr:to>
    <xdr:pic>
      <xdr:nvPicPr>
        <xdr:cNvPr id="490" name="image148.jpeg">
          <a:extLst>
            <a:ext uri="{FF2B5EF4-FFF2-40B4-BE49-F238E27FC236}">
              <a16:creationId xmlns="" xmlns:a16="http://schemas.microsoft.com/office/drawing/2014/main" id="{00000000-0008-0000-0100-0000EA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293501" y="170324262"/>
          <a:ext cx="561054" cy="968856"/>
        </a:xfrm>
        <a:prstGeom prst="rect">
          <a:avLst/>
        </a:prstGeom>
      </xdr:spPr>
    </xdr:pic>
    <xdr:clientData/>
  </xdr:twoCellAnchor>
  <xdr:twoCellAnchor>
    <xdr:from>
      <xdr:col>4</xdr:col>
      <xdr:colOff>216870</xdr:colOff>
      <xdr:row>7</xdr:row>
      <xdr:rowOff>102550</xdr:rowOff>
    </xdr:from>
    <xdr:to>
      <xdr:col>4</xdr:col>
      <xdr:colOff>1094705</xdr:colOff>
      <xdr:row>7</xdr:row>
      <xdr:rowOff>963705</xdr:rowOff>
    </xdr:to>
    <xdr:pic>
      <xdr:nvPicPr>
        <xdr:cNvPr id="496" name="image154.jpeg">
          <a:extLst>
            <a:ext uri="{FF2B5EF4-FFF2-40B4-BE49-F238E27FC236}">
              <a16:creationId xmlns="" xmlns:a16="http://schemas.microsoft.com/office/drawing/2014/main" id="{00000000-0008-0000-0100-0000F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102635" y="171406874"/>
          <a:ext cx="877835" cy="8611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T8"/>
  <sheetViews>
    <sheetView tabSelected="1" view="pageBreakPreview" zoomScale="70" zoomScaleNormal="100" zoomScaleSheetLayoutView="70" workbookViewId="0">
      <pane ySplit="4" topLeftCell="A5" activePane="bottomLeft" state="frozen"/>
      <selection pane="bottomLeft" activeCell="D28" sqref="D28"/>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3" customWidth="1"/>
    <col min="16" max="16" width="36.6640625" style="3" customWidth="1"/>
    <col min="17" max="17" width="33.83203125" style="3" customWidth="1"/>
    <col min="18" max="18" width="44.6640625" style="3" customWidth="1"/>
  </cols>
  <sheetData>
    <row r="1" spans="2:46" ht="39.950000000000003" customHeight="1">
      <c r="B1" s="14" t="s">
        <v>1</v>
      </c>
      <c r="C1" s="14"/>
      <c r="D1" s="14"/>
      <c r="E1" s="14"/>
      <c r="F1" s="14"/>
      <c r="G1" s="14"/>
      <c r="H1" s="14"/>
      <c r="I1" s="14"/>
      <c r="J1" s="14"/>
      <c r="K1" s="14"/>
      <c r="L1" s="14"/>
      <c r="M1" s="14"/>
      <c r="N1" s="14"/>
      <c r="O1" s="14"/>
      <c r="P1" s="14"/>
      <c r="Q1" s="14"/>
      <c r="R1" s="15"/>
    </row>
    <row r="2" spans="2:46" ht="39.950000000000003" customHeight="1">
      <c r="B2" s="16" t="s">
        <v>28</v>
      </c>
      <c r="C2" s="16"/>
      <c r="D2" s="16"/>
      <c r="E2" s="16"/>
      <c r="F2" s="16"/>
      <c r="G2" s="16"/>
      <c r="H2" s="16"/>
      <c r="I2" s="16"/>
      <c r="J2" s="16"/>
      <c r="K2" s="16"/>
      <c r="L2" s="16"/>
      <c r="M2" s="16"/>
      <c r="N2" s="16"/>
      <c r="O2" s="16"/>
      <c r="P2" s="16"/>
      <c r="Q2" s="16"/>
      <c r="R2" s="17"/>
    </row>
    <row r="3" spans="2:46" ht="50.1" customHeight="1">
      <c r="B3" s="18" t="s">
        <v>4</v>
      </c>
      <c r="C3" s="20" t="s">
        <v>5</v>
      </c>
      <c r="D3" s="20" t="s">
        <v>0</v>
      </c>
      <c r="E3" s="21" t="s">
        <v>13</v>
      </c>
      <c r="F3" s="21" t="s">
        <v>33</v>
      </c>
      <c r="G3" s="20" t="s">
        <v>6</v>
      </c>
      <c r="H3" s="20"/>
      <c r="I3" s="20"/>
      <c r="J3" s="20" t="s">
        <v>7</v>
      </c>
      <c r="K3" s="21" t="s">
        <v>8</v>
      </c>
      <c r="L3" s="20" t="s">
        <v>9</v>
      </c>
      <c r="M3" s="20"/>
      <c r="N3" s="23"/>
      <c r="O3" s="24" t="s">
        <v>29</v>
      </c>
      <c r="P3" s="20" t="s">
        <v>30</v>
      </c>
      <c r="Q3" s="20" t="s">
        <v>31</v>
      </c>
      <c r="R3" s="20" t="s">
        <v>32</v>
      </c>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spans="2:46" ht="33.200000000000003" customHeight="1">
      <c r="B4" s="19"/>
      <c r="C4" s="20"/>
      <c r="D4" s="20"/>
      <c r="E4" s="22"/>
      <c r="F4" s="22"/>
      <c r="G4" s="1" t="s">
        <v>10</v>
      </c>
      <c r="H4" s="13" t="s">
        <v>11</v>
      </c>
      <c r="I4" s="1" t="s">
        <v>41</v>
      </c>
      <c r="J4" s="20"/>
      <c r="K4" s="22"/>
      <c r="L4" s="2" t="s">
        <v>2</v>
      </c>
      <c r="M4" s="2" t="s">
        <v>3</v>
      </c>
      <c r="N4" s="11" t="s">
        <v>12</v>
      </c>
      <c r="O4" s="24"/>
      <c r="P4" s="24"/>
      <c r="Q4" s="24"/>
      <c r="R4" s="24"/>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2:46" ht="80.099999999999994" customHeight="1">
      <c r="B5" s="4">
        <v>1</v>
      </c>
      <c r="C5" s="5" t="s">
        <v>15</v>
      </c>
      <c r="D5" s="5" t="s">
        <v>19</v>
      </c>
      <c r="E5" s="9"/>
      <c r="F5" s="5" t="s">
        <v>26</v>
      </c>
      <c r="G5" s="5" t="s">
        <v>14</v>
      </c>
      <c r="H5" s="5" t="s">
        <v>42</v>
      </c>
      <c r="I5" s="6" t="s">
        <v>25</v>
      </c>
      <c r="J5" s="5" t="s">
        <v>21</v>
      </c>
      <c r="K5" s="5" t="s">
        <v>27</v>
      </c>
      <c r="L5" s="8">
        <f>M5*(1-0.1)</f>
        <v>11250</v>
      </c>
      <c r="M5" s="10">
        <v>12500</v>
      </c>
      <c r="N5" s="7">
        <v>0.1</v>
      </c>
      <c r="O5" s="12" t="s">
        <v>34</v>
      </c>
      <c r="P5" s="12" t="s">
        <v>36</v>
      </c>
      <c r="Q5" s="12" t="s">
        <v>37</v>
      </c>
      <c r="R5" s="12" t="s">
        <v>38</v>
      </c>
    </row>
    <row r="6" spans="2:46" ht="80.099999999999994" customHeight="1">
      <c r="B6" s="4">
        <v>2</v>
      </c>
      <c r="C6" s="5" t="s">
        <v>16</v>
      </c>
      <c r="D6" s="5" t="s">
        <v>19</v>
      </c>
      <c r="E6" s="9"/>
      <c r="F6" s="5" t="s">
        <v>26</v>
      </c>
      <c r="G6" s="5" t="s">
        <v>14</v>
      </c>
      <c r="H6" s="5" t="s">
        <v>42</v>
      </c>
      <c r="I6" s="6" t="s">
        <v>25</v>
      </c>
      <c r="J6" s="5" t="s">
        <v>22</v>
      </c>
      <c r="K6" s="5" t="s">
        <v>27</v>
      </c>
      <c r="L6" s="8">
        <f t="shared" ref="L6:L8" si="0">M6*(1-0.1)</f>
        <v>15750</v>
      </c>
      <c r="M6" s="10">
        <v>17500</v>
      </c>
      <c r="N6" s="7">
        <v>0.1</v>
      </c>
      <c r="O6" s="12" t="s">
        <v>35</v>
      </c>
      <c r="P6" s="12" t="s">
        <v>36</v>
      </c>
      <c r="Q6" s="12" t="s">
        <v>37</v>
      </c>
      <c r="R6" s="12" t="s">
        <v>38</v>
      </c>
    </row>
    <row r="7" spans="2:46" ht="80.099999999999994" customHeight="1">
      <c r="B7" s="4">
        <v>3</v>
      </c>
      <c r="C7" s="5" t="s">
        <v>17</v>
      </c>
      <c r="D7" s="5" t="s">
        <v>19</v>
      </c>
      <c r="E7" s="9"/>
      <c r="F7" s="5" t="s">
        <v>26</v>
      </c>
      <c r="G7" s="5" t="s">
        <v>14</v>
      </c>
      <c r="H7" s="5" t="s">
        <v>42</v>
      </c>
      <c r="I7" s="6" t="s">
        <v>25</v>
      </c>
      <c r="J7" s="5" t="s">
        <v>23</v>
      </c>
      <c r="K7" s="5" t="s">
        <v>27</v>
      </c>
      <c r="L7" s="8">
        <f t="shared" si="0"/>
        <v>19350</v>
      </c>
      <c r="M7" s="10">
        <v>21500</v>
      </c>
      <c r="N7" s="7">
        <v>0.1</v>
      </c>
      <c r="O7" s="12" t="s">
        <v>39</v>
      </c>
      <c r="P7" s="12" t="s">
        <v>36</v>
      </c>
      <c r="Q7" s="12" t="s">
        <v>37</v>
      </c>
      <c r="R7" s="12" t="s">
        <v>38</v>
      </c>
    </row>
    <row r="8" spans="2:46" ht="80.099999999999994" customHeight="1">
      <c r="B8" s="4">
        <v>4</v>
      </c>
      <c r="C8" s="5" t="s">
        <v>18</v>
      </c>
      <c r="D8" s="5" t="s">
        <v>20</v>
      </c>
      <c r="E8" s="9"/>
      <c r="F8" s="5" t="s">
        <v>26</v>
      </c>
      <c r="G8" s="5" t="s">
        <v>14</v>
      </c>
      <c r="H8" s="5" t="s">
        <v>42</v>
      </c>
      <c r="I8" s="6" t="s">
        <v>25</v>
      </c>
      <c r="J8" s="5" t="s">
        <v>24</v>
      </c>
      <c r="K8" s="5" t="s">
        <v>27</v>
      </c>
      <c r="L8" s="8">
        <f t="shared" si="0"/>
        <v>31500</v>
      </c>
      <c r="M8" s="10">
        <v>35000</v>
      </c>
      <c r="N8" s="7">
        <v>0.1</v>
      </c>
      <c r="O8" s="12" t="s">
        <v>40</v>
      </c>
      <c r="P8" s="12" t="s">
        <v>36</v>
      </c>
      <c r="Q8" s="12" t="s">
        <v>37</v>
      </c>
      <c r="R8" s="12" t="s">
        <v>38</v>
      </c>
    </row>
  </sheetData>
  <mergeCells count="15">
    <mergeCell ref="B1:R1"/>
    <mergeCell ref="B2:R2"/>
    <mergeCell ref="B3:B4"/>
    <mergeCell ref="C3:C4"/>
    <mergeCell ref="D3:D4"/>
    <mergeCell ref="F3:F4"/>
    <mergeCell ref="G3:I3"/>
    <mergeCell ref="J3:J4"/>
    <mergeCell ref="K3:K4"/>
    <mergeCell ref="L3:N3"/>
    <mergeCell ref="E3:E4"/>
    <mergeCell ref="O3:O4"/>
    <mergeCell ref="P3:P4"/>
    <mergeCell ref="Q3:Q4"/>
    <mergeCell ref="R3:R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File Cabinet</vt:lpstr>
      <vt:lpstr>'File Cabinet'!Print_Area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GROUP</cp:lastModifiedBy>
  <dcterms:created xsi:type="dcterms:W3CDTF">2026-05-17T11:14:16Z</dcterms:created>
  <dcterms:modified xsi:type="dcterms:W3CDTF">2026-07-25T04:57:26Z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