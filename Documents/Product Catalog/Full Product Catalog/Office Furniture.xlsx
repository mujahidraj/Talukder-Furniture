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Talukder Furniture\Documents\Product Catalog\Full Product Catalog\"/>
    </mc:Choice>
  </mc:AlternateContent>
  <xr:revisionPtr revIDLastSave="0" documentId="13_ncr:1_{1B20ABBE-3C47-4849-B1AE-561C5179C6CD}" xr6:coauthVersionLast="47" xr6:coauthVersionMax="47" xr10:uidLastSave="{00000000-0000-0000-0000-000000000000}"/>
  <bookViews>
    <workbookView xWindow="-120" yWindow="-120" windowWidth="29040" windowHeight="15720" xr2:uid="{00000000-000D-0000-FFFF-FFFF00000000}"/>
  </bookViews>
  <sheets>
    <sheet name="Office Furniture (2)" sheetId="1" r:id="rId1"/>
  </sheets>
  <definedNames>
    <definedName name="_xlnm.Print_Area" localSheetId="0">'Office Furniture (2)'!$B$1:$P$188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8" i="1" l="1"/>
  <c r="K186" i="1"/>
  <c r="K185" i="1"/>
  <c r="K184" i="1"/>
  <c r="K182" i="1"/>
  <c r="K181" i="1"/>
  <c r="K180" i="1"/>
  <c r="K179" i="1"/>
  <c r="K178" i="1"/>
  <c r="K176" i="1"/>
  <c r="K175" i="1"/>
  <c r="K174" i="1"/>
  <c r="K173" i="1"/>
  <c r="K171" i="1"/>
  <c r="K170" i="1"/>
  <c r="K169" i="1"/>
  <c r="K168" i="1"/>
  <c r="K166" i="1"/>
  <c r="K165" i="1"/>
  <c r="K164" i="1"/>
  <c r="K163" i="1"/>
  <c r="K161" i="1"/>
  <c r="K160" i="1"/>
  <c r="K158" i="1"/>
  <c r="K156" i="1"/>
  <c r="K154" i="1"/>
  <c r="K153" i="1"/>
  <c r="K152" i="1"/>
  <c r="K151" i="1"/>
  <c r="K150" i="1"/>
  <c r="K148" i="1"/>
  <c r="K147" i="1"/>
  <c r="K146" i="1"/>
  <c r="K145" i="1"/>
  <c r="K144" i="1"/>
  <c r="K143" i="1"/>
  <c r="K142" i="1"/>
  <c r="K141" i="1"/>
  <c r="K140" i="1"/>
  <c r="K139" i="1"/>
  <c r="K138" i="1"/>
  <c r="K137" i="1"/>
  <c r="K136" i="1"/>
  <c r="K135" i="1"/>
  <c r="K134" i="1"/>
  <c r="K133" i="1"/>
  <c r="K132" i="1"/>
  <c r="K130" i="1"/>
  <c r="K129" i="1"/>
  <c r="K128" i="1"/>
  <c r="K127" i="1"/>
  <c r="K126" i="1"/>
  <c r="K125" i="1"/>
  <c r="K124" i="1"/>
  <c r="K123" i="1"/>
  <c r="K122" i="1"/>
  <c r="K121" i="1"/>
  <c r="K120" i="1"/>
  <c r="K119" i="1"/>
  <c r="K118" i="1"/>
  <c r="K117" i="1"/>
  <c r="K116" i="1"/>
  <c r="K115" i="1"/>
  <c r="K114" i="1"/>
  <c r="K113" i="1"/>
  <c r="K111" i="1"/>
  <c r="K110" i="1"/>
  <c r="K109" i="1"/>
  <c r="K108" i="1"/>
  <c r="K107" i="1"/>
  <c r="K106" i="1"/>
  <c r="K105" i="1"/>
  <c r="K104" i="1"/>
  <c r="K103" i="1"/>
  <c r="K102" i="1"/>
  <c r="K101" i="1"/>
  <c r="K100" i="1"/>
  <c r="K99" i="1"/>
  <c r="K98" i="1"/>
  <c r="K97" i="1"/>
  <c r="K96" i="1"/>
  <c r="K95" i="1"/>
  <c r="K94" i="1"/>
  <c r="K93" i="1"/>
  <c r="K92" i="1"/>
  <c r="K90" i="1"/>
  <c r="K89" i="1"/>
  <c r="K87" i="1"/>
  <c r="K85" i="1"/>
  <c r="K84" i="1"/>
  <c r="K83" i="1"/>
  <c r="K82" i="1"/>
  <c r="K81" i="1"/>
  <c r="K80" i="1"/>
  <c r="K79" i="1"/>
  <c r="K78" i="1"/>
  <c r="K77" i="1"/>
  <c r="K76" i="1"/>
  <c r="K75" i="1"/>
  <c r="K74" i="1"/>
  <c r="K73" i="1"/>
  <c r="K72" i="1"/>
  <c r="K70" i="1"/>
  <c r="K69" i="1"/>
  <c r="K68" i="1"/>
  <c r="K67" i="1"/>
  <c r="K66" i="1"/>
  <c r="K65" i="1"/>
  <c r="K63" i="1"/>
  <c r="K62" i="1"/>
  <c r="K61" i="1"/>
  <c r="K59" i="1"/>
  <c r="K58" i="1"/>
  <c r="K57" i="1"/>
  <c r="K56" i="1"/>
  <c r="K54" i="1"/>
  <c r="K53" i="1"/>
  <c r="K52" i="1"/>
  <c r="K51" i="1"/>
  <c r="K50" i="1"/>
  <c r="K49" i="1"/>
  <c r="K47" i="1"/>
  <c r="K46" i="1"/>
  <c r="K45" i="1"/>
  <c r="K44" i="1"/>
  <c r="K43" i="1"/>
  <c r="K42" i="1"/>
  <c r="K40" i="1"/>
  <c r="K39" i="1"/>
  <c r="K38" i="1"/>
  <c r="K37" i="1"/>
  <c r="K36" i="1"/>
  <c r="K35" i="1"/>
  <c r="K34"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alcChain>
</file>

<file path=xl/sharedStrings.xml><?xml version="1.0" encoding="utf-8"?>
<sst xmlns="http://schemas.openxmlformats.org/spreadsheetml/2006/main" count="1713" uniqueCount="593">
  <si>
    <t>Talukder Furniture Ltd.</t>
  </si>
  <si>
    <t>Office Furniture Specifications</t>
  </si>
  <si>
    <t>SL No</t>
  </si>
  <si>
    <t>Product Code</t>
  </si>
  <si>
    <t xml:space="preserve">Product Name </t>
  </si>
  <si>
    <t xml:space="preserve">Picture </t>
  </si>
  <si>
    <t>Product Description</t>
  </si>
  <si>
    <t>Category</t>
  </si>
  <si>
    <t>Measurement</t>
  </si>
  <si>
    <t>Color</t>
  </si>
  <si>
    <t>Price</t>
  </si>
  <si>
    <t>Description</t>
  </si>
  <si>
    <t>Care and Maintenance</t>
  </si>
  <si>
    <t>Warranty Info</t>
  </si>
  <si>
    <t>Main</t>
  </si>
  <si>
    <t>Sub</t>
  </si>
  <si>
    <t>DP</t>
  </si>
  <si>
    <t>MRP</t>
  </si>
  <si>
    <t>Discount</t>
  </si>
  <si>
    <t>1</t>
  </si>
  <si>
    <t>TFL-STO-201 LB</t>
  </si>
  <si>
    <t>Sr. Executive Table</t>
  </si>
  <si>
    <t>Melamine Face Chip Board  &amp; Imported Foreign Accessories</t>
  </si>
  <si>
    <t xml:space="preserve">Office furniture </t>
  </si>
  <si>
    <t>Sr.Executive Tables</t>
  </si>
  <si>
    <t>Size: L 1800 x W 1800 x H 750 mm</t>
  </si>
  <si>
    <t xml:space="preserve">Beech+Black </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</si>
  <si>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</si>
  <si>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</si>
  <si>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</si>
  <si>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</si>
  <si>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TFL-STO-202 LB</t>
  </si>
  <si>
    <t>3</t>
  </si>
  <si>
    <t>TFL-STO-203 LB</t>
  </si>
  <si>
    <t>Size: L 1800 x W 1600 x H 750 mm</t>
  </si>
  <si>
    <t>4</t>
  </si>
  <si>
    <t>TFL-STO-204 LB</t>
  </si>
  <si>
    <t xml:space="preserve">Melamine Face Chip Board  &amp; Imported Foreign Accessories+MS Tube Metal Leg </t>
  </si>
  <si>
    <t xml:space="preserve">Beech+Black+White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</si>
  <si>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</si>
  <si>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</si>
  <si>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TFL-STO-205 LB</t>
  </si>
  <si>
    <t>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</si>
  <si>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</si>
  <si>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</si>
  <si>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TFL-STO-206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</si>
  <si>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</si>
  <si>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</si>
  <si>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TFL-STO-207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</si>
  <si>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</si>
  <si>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</si>
  <si>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TFL-STO-208 LB</t>
  </si>
  <si>
    <t>Size: L 1600 x W 750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</si>
  <si>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</si>
  <si>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</si>
  <si>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TFL-STO-209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</si>
  <si>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</si>
  <si>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</si>
  <si>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TFL-STO-210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</si>
  <si>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</si>
  <si>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</si>
  <si>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TFL-STO-211 LB</t>
  </si>
  <si>
    <t>Size: L 1600 x W 800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</si>
  <si>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</si>
  <si>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</si>
  <si>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TFL-STO-212 LB</t>
  </si>
  <si>
    <t xml:space="preserve">Antique+Black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</si>
  <si>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</si>
  <si>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</si>
  <si>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TFL-STO-213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</si>
  <si>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</si>
  <si>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</si>
  <si>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TFL-STO-214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</si>
  <si>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</si>
  <si>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</si>
  <si>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TFL-ETO-215 LB</t>
  </si>
  <si>
    <t>Executive Table</t>
  </si>
  <si>
    <t>Executive Tables</t>
  </si>
  <si>
    <t>Size: 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</si>
  <si>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</si>
  <si>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</si>
  <si>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TFL-ETO-216 LB</t>
  </si>
  <si>
    <t>Size: L 1200 x W 650 x H 750 mm</t>
  </si>
  <si>
    <t xml:space="preserve">Beech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</si>
  <si>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</si>
  <si>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</si>
  <si>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TFL-ETO-217 LB</t>
  </si>
  <si>
    <t>Size: L 1500 x W 750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</si>
  <si>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</si>
  <si>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</si>
  <si>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TFL-ETO-218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</si>
  <si>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</si>
  <si>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</si>
  <si>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TFL-ETO-219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</si>
  <si>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</si>
  <si>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</si>
  <si>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TFL-ETO-220 LB</t>
  </si>
  <si>
    <t>Size: L 1400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</si>
  <si>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</si>
  <si>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</si>
  <si>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TFL-ETO-221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</si>
  <si>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</si>
  <si>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</si>
  <si>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TFL-ETO-222 LB</t>
  </si>
  <si>
    <t>Size: L 1500 x W 650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</si>
  <si>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</si>
  <si>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</si>
  <si>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TFL-ETO-223 LB</t>
  </si>
  <si>
    <t>Size: L 1000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</si>
  <si>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</si>
  <si>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</si>
  <si>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TFL-ETO-224 LB</t>
  </si>
  <si>
    <t>Size: L 900 x W 600 x H 750 mm</t>
  </si>
  <si>
    <t>Gray+Black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</si>
  <si>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</si>
  <si>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</si>
  <si>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TFL-ETO-225 LB</t>
  </si>
  <si>
    <t>Antique+Gray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</si>
  <si>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</si>
  <si>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</si>
  <si>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TFL-ETO-226 LB</t>
  </si>
  <si>
    <t>Size: L 1400 x W 700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</si>
  <si>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</si>
  <si>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</si>
  <si>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TFL-ETO-227 LB</t>
  </si>
  <si>
    <t>L 1500 x W 700 x H 750 mm</t>
  </si>
  <si>
    <t>Antique+Beech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</si>
  <si>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</si>
  <si>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</si>
  <si>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TFL-ETO-228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</si>
  <si>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</si>
  <si>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Drawer Unit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</si>
  <si>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</si>
  <si>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TFL-DUO-201 LB</t>
  </si>
  <si>
    <t>Mobile Drawer Unit</t>
  </si>
  <si>
    <t>Drawer Units</t>
  </si>
  <si>
    <t>Size: L 400 x W 450 x H 650 mm</t>
  </si>
  <si>
    <t xml:space="preserve">Beech+White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</si>
  <si>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</si>
  <si>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TFL-DUO-202 LB</t>
  </si>
  <si>
    <t>Size: L 400 x W 480 x H 650 mm</t>
  </si>
  <si>
    <t xml:space="preserve">Oak+Black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</si>
  <si>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</si>
  <si>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TFL-DUO-203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</si>
  <si>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</si>
  <si>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TFL-DUO-204 LB</t>
  </si>
  <si>
    <t>Size: L 400 x W 450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</si>
  <si>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</si>
  <si>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TFL-DUO-205 LB</t>
  </si>
  <si>
    <t>Hanging Drawer</t>
  </si>
  <si>
    <t>Size: L 400 x W 450 x H 450 mm</t>
  </si>
  <si>
    <t>Beech+Black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</si>
  <si>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</si>
  <si>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TFL-DUO-206 LB</t>
  </si>
  <si>
    <t>Size: L 400 x W 450 x H 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</si>
  <si>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</si>
  <si>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TFL-DUO-207 LB</t>
  </si>
  <si>
    <t>Size: L 400 x W 450 x H 175 mm</t>
  </si>
  <si>
    <t xml:space="preserve">Gray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</si>
  <si>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</si>
  <si>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Side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</si>
  <si>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</si>
  <si>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TFL-SRO-201 LB</t>
  </si>
  <si>
    <t>Side Rack</t>
  </si>
  <si>
    <t>Storage &amp; Organizers</t>
  </si>
  <si>
    <t>Size: L 1050 x W 400 x H 750 mm</t>
  </si>
  <si>
    <t xml:space="preserve">Teak,Grey,oak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</si>
  <si>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</si>
  <si>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TFL-SRO-202 LB</t>
  </si>
  <si>
    <t>Size: L 900 x W 400 x H 750 mm</t>
  </si>
  <si>
    <t xml:space="preserve">Teak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</si>
  <si>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</si>
  <si>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TFL-SRO-203 LB</t>
  </si>
  <si>
    <t>Size: L 800 x W 400 x H 750 mm</t>
  </si>
  <si>
    <t xml:space="preserve">Teak, Grey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</si>
  <si>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</si>
  <si>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TFL-SRO-204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</si>
  <si>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</si>
  <si>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TFL-SRO-205 LB</t>
  </si>
  <si>
    <t>Size: L 1200 x W 400 x H 750 mm</t>
  </si>
  <si>
    <t xml:space="preserve">Antique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</si>
  <si>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</si>
  <si>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TFL-SRO-206 LB</t>
  </si>
  <si>
    <t>Size: L 1000 x W 400 x H 750 mm</t>
  </si>
  <si>
    <t>Beech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</si>
  <si>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</si>
  <si>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Computer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</si>
  <si>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</si>
  <si>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TFL-CTO-201 LB</t>
  </si>
  <si>
    <t xml:space="preserve">Office Furniture </t>
  </si>
  <si>
    <t>Table</t>
  </si>
  <si>
    <t>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</si>
  <si>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</si>
  <si>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TFL-CTO-202 LB</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</si>
  <si>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</si>
  <si>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</si>
  <si>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TFL-CTO-203 LB</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</si>
  <si>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</si>
  <si>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</si>
  <si>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TFL-CTO-204 LB</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</si>
  <si>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</si>
  <si>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</si>
  <si>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TFL-CTO-205 LB</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</si>
  <si>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</si>
  <si>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</si>
  <si>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TFL-CTO-206 LB</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</si>
  <si>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</si>
  <si>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</si>
  <si>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Multipurpose Shelf</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</si>
  <si>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</si>
  <si>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TFL-MPO-201 LB</t>
  </si>
  <si>
    <t>Office furniture</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</si>
  <si>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</si>
  <si>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</si>
  <si>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TFL-MPO-202 LB</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</si>
  <si>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</si>
  <si>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</si>
  <si>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TFL-MPO-203 LB</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</si>
  <si>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</si>
  <si>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</si>
  <si>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TFL-MPO-204 LB</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</si>
  <si>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</si>
  <si>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</si>
  <si>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Hanging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</si>
  <si>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</si>
  <si>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TFL-HCO-201 LB</t>
  </si>
  <si>
    <t>Hanging File Cabinet</t>
  </si>
  <si>
    <t>L 2120 x W 1880 x H 850 mm</t>
  </si>
  <si>
    <t>Grey/Beech/Antique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</si>
  <si>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</si>
  <si>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TFL-HCO-202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</si>
  <si>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</si>
  <si>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</si>
  <si>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Conference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</si>
  <si>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</si>
  <si>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TFL-OCT-201 LB</t>
  </si>
  <si>
    <t>Tables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</si>
  <si>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</si>
  <si>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Size: L 600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</si>
  <si>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</si>
  <si>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Size: L 625 x W 625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</si>
  <si>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</si>
  <si>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TFL-OCT-202 LB</t>
  </si>
  <si>
    <t>Size: L 2400 x W 1200 x H 750 mm</t>
  </si>
  <si>
    <t>Teak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</si>
  <si>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</si>
  <si>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TFL-OCT-203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</si>
  <si>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</si>
  <si>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TFL-OCT-204 LB</t>
  </si>
  <si>
    <t>Size: L 1200 x W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</si>
  <si>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</si>
  <si>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Sofa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</si>
  <si>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</si>
  <si>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TFL-OSF-301 FR</t>
  </si>
  <si>
    <t>2- Seater Sofa</t>
  </si>
  <si>
    <t>Fully upholstered rexine sofa with cushioned seats/backrests, contrast stitching lines, padded armrests, and low sturdy legs.</t>
  </si>
  <si>
    <r>
      <rPr>
        <sz val="16"/>
        <rFont val="Times New Roman"/>
        <charset val="134"/>
      </rPr>
      <t>Standard
(2 Seater + 1 Seater + 1 Seater)</t>
    </r>
  </si>
  <si>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</si>
  <si>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</si>
  <si>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1- Seater Sofa</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</si>
  <si>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</si>
  <si>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TFL-OSF-302 FR</t>
  </si>
  <si>
    <t>Fully upholstered fabric sofa with cushioned seats/backrests, solid wood frame structure, and wide track armrests with wooden tops.</t>
  </si>
  <si>
    <r>
      <rPr>
        <sz val="16"/>
        <rFont val="Times New Roman"/>
        <charset val="134"/>
      </rPr>
      <t>Standard
(2 Seater + 2 Seater + 1 Seater)</t>
    </r>
  </si>
  <si>
    <t>Choose your perfect color from our fabric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</si>
  <si>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</si>
  <si>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</si>
  <si>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TFL-OSF-303 FR</t>
  </si>
  <si>
    <t>Fully upholstered rexine sofa with cushioned seats, patterned backrest cushions, and solid wood side accents and legs.</t>
  </si>
  <si>
    <t>Choose your perfect color from our fabric/Rexin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</si>
  <si>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</si>
  <si>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</si>
  <si>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TFL-OSF-304 FR</t>
  </si>
  <si>
    <t>Fully upholstered rexine sofa with cushioned seats/backrests, throw pillows, and sleek metal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</si>
  <si>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</si>
  <si>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</si>
  <si>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TFL-OSF-305 FR</t>
  </si>
  <si>
    <t>Fully upholstered rexine sofa with cushioned seat, stitched-line backrest, track armrests, and low wooden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</si>
  <si>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</si>
  <si>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</si>
  <si>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TFL-OSF-306 FR</t>
  </si>
  <si>
    <t>Fully upholstered armless rexine sofa with cushioned seats and backrests.</t>
  </si>
  <si>
    <t>Choose your perfect color from our Rexin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</si>
  <si>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</si>
  <si>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</si>
  <si>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TFL-OSF-307 FR</t>
  </si>
  <si>
    <t>Fully upholstered leatherette with cushioned seat, backrest, and track armrests.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</si>
  <si>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</si>
  <si>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</si>
  <si>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TFL-OSF-308 FR</t>
  </si>
  <si>
    <t>Heavily cushioned leatherette with a metal/wood internal mechanism frame.</t>
  </si>
  <si>
    <t>Standard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</si>
  <si>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</si>
  <si>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</si>
  <si>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</si>
  <si>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TFL-SOF-309 FR</t>
  </si>
  <si>
    <t>Fully upholstered 2-seater fabric sofa with a middle console table and sleek SS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</si>
  <si>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</si>
  <si>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TFL-SOF-310 FR</t>
  </si>
  <si>
    <t>3- Seater Sofa</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</si>
  <si>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</si>
  <si>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</si>
  <si>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</si>
  <si>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TFL-ECO-301 FF</t>
  </si>
  <si>
    <t xml:space="preserve">Office Chair </t>
  </si>
  <si>
    <t>Full mesh seat and backrest with adjustable headrest and lumbar support, adjustable plastic T-armrests, pneumatic gas lift, and chrome-plated SS star base on casters.</t>
  </si>
  <si>
    <t xml:space="preserve">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</si>
  <si>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</si>
  <si>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TFL-ECO-302 FF</t>
  </si>
  <si>
    <t>Full mesh seat and backrest with an adjustable headrest, adjustable plastic T-armrests, pneumatic gas lift, and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</si>
  <si>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</si>
  <si>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TFL-ECO-303 FF</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</si>
  <si>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</si>
  <si>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TFL-ECO-304 FF</t>
  </si>
  <si>
    <t>Mesh backrest with an adjustable headrest, foam-cushioned fabric seat, adjustable plastic T-armrests,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</si>
  <si>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</si>
  <si>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TFL-ECO-305 FR</t>
  </si>
  <si>
    <t>High-back leatherette seat/backrest with headrest cushion, adjustable T-armrests with chrome accents,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</si>
  <si>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</si>
  <si>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TFL-ECO-306 FR</t>
  </si>
  <si>
    <t>Leatherette seat/backrest with an adjustable headrest, adjustable plastic T-armrests,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</si>
  <si>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</si>
  <si>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TFL-ECO-307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</si>
  <si>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</si>
  <si>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TFL-ECO-308 FR</t>
  </si>
  <si>
    <t>Breathable mesh backrest with an adjustable headrest, foam-cushioned fabric seat, adjustable plastic T-armrests,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</si>
  <si>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</si>
  <si>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High-back plush cushioned leatherette seat and backrest, padded curved 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</si>
  <si>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</si>
  <si>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TFL-ECO-309 FR</t>
  </si>
  <si>
    <t>High-back plush cushioned leatherette seat and backrest, adjustable T-armrests with chrome/SS accents,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</si>
  <si>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</si>
  <si>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TFL-ECO-310 FF</t>
  </si>
  <si>
    <t>Breathable mesh backrest with an adjustable headrest, foam-cushioned fabric seat, adjustable plastic T-armrests, a pneumatic gas lift, and a nylon star base on casters.</t>
  </si>
  <si>
    <t>z</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</si>
  <si>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</si>
  <si>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TFL-ECO-311 FR</t>
  </si>
  <si>
    <t>High-back ribbed cushioned leatherette seat and backrest, adjustable plastic T-armrests,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</si>
  <si>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</si>
  <si>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TFL-ECO-312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</si>
  <si>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</si>
  <si>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TFL-ECO-313 FF</t>
  </si>
  <si>
    <t>Foam-cushioned fabric seat and backrest, plastic armrests,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</si>
  <si>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</si>
  <si>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TFL-ECO-314 FR</t>
  </si>
  <si>
    <t>High-back plush cushioned leatherette seat and backrest, integrated chrome/SS armrests with padded tops,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</si>
  <si>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</si>
  <si>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TFL-ECO-315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</si>
  <si>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</si>
  <si>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TFL-ECO-316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</si>
  <si>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</si>
  <si>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TFL-ECO-317 WD</t>
  </si>
  <si>
    <t>Made from Kiln-dried Mahagoni wood high-back frame, seat, and armrests with fabric-cushioned panels, a pneumatic gas lift, and a solid wood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</si>
  <si>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</si>
  <si>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TFL-ECO-318 WD</t>
  </si>
  <si>
    <t>Made from Kiln-dried Mahagoni wood high-back frame, seat, and armrests, with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</si>
  <si>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</si>
  <si>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TFL-ECO-319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</si>
  <si>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</si>
  <si>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</si>
  <si>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</si>
  <si>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TFL-ECO-320 WD</t>
  </si>
  <si>
    <t>Officer Chair</t>
  </si>
  <si>
    <t>Breathable High-Density Black Mesh, Reinforced Polymer Frame, Heavy-duty Chrome/Aluminum Alloy Base, and Silent PU Casters</t>
  </si>
  <si>
    <t xml:space="preserv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</si>
  <si>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</si>
  <si>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TFL-ECO-321 WD</t>
  </si>
  <si>
    <t>Premium Lime Green Breathable Mesh, Heavy-duty Nylon Frame, Reinforced Industrial Plastic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</si>
  <si>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</si>
  <si>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TFL-ECO-322 WD</t>
  </si>
  <si>
    <t>Breathable Vibrant Orange Mesh Back, High-Density Padded Foam Seat with Fabric Upholstery, Reinforced Nylon Frame,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</si>
  <si>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</si>
  <si>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TFL-ECO-323 WD</t>
  </si>
  <si>
    <t>High-Grade Breathable Black Mesh, High-Density Foam Padded Seat, Reinforced Nylon Frame, Heavy-duty Chrome-Plated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</si>
  <si>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</si>
  <si>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TFL-ECO-324 WD</t>
  </si>
  <si>
    <t>High-Density Breathable Mesh, High-Strength Nylon Frame, Heavy-duty Polished Aluminum Alloy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</si>
  <si>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</si>
  <si>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TFL-ECO-325 WD</t>
  </si>
  <si>
    <t>Breathable High-Density Silver Grey Mesh, High-Strength Nylon Frame, Heavy-duty Polished Aluminum Alloy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</si>
  <si>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</si>
  <si>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TFL-OCO-301 FR</t>
  </si>
  <si>
    <t>Premium Lime Green Breathable Mesh, Reinforced Polymer Frame, Heavy-duty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</si>
  <si>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</si>
  <si>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TFL-OCO-302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</si>
  <si>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</si>
  <si>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TFL-OCO-303 FR</t>
  </si>
  <si>
    <t>Premium Orange Breathable Mesh, Reinforced Polymer Frame, Heavy-duty Matte Black Nylon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</si>
  <si>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</si>
  <si>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TFL-OCO-304 FR</t>
  </si>
  <si>
    <t>High-Grade Breathable Black Mesh, Reinforced Polymer Frame, Heavy-duty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</si>
  <si>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</si>
  <si>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TFL-OCO-305 FR</t>
  </si>
  <si>
    <t>Breathable Black Mesh, Reinforced Polymer Frame,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</si>
  <si>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</si>
  <si>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TFL-OCO-306 FR</t>
  </si>
  <si>
    <t>Breathable black mesh backrest with plastic lumbar support, foam-cushioned fabric seat, plastic armrests, a chrome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</si>
  <si>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</si>
  <si>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TFL-OCO-307 FR</t>
  </si>
  <si>
    <t>Breathable green mesh backrest, foam-cushioned black fabric seat, plastic 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</si>
  <si>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</si>
  <si>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TFL-OCO-308 FR</t>
  </si>
  <si>
    <t>Foam-cushioned orange fabric seat and backrest, adjustable plastic T-armrests,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</si>
  <si>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</si>
  <si>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TFL-OCO-309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</si>
  <si>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</si>
  <si>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TFL-OCO-310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</si>
  <si>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</si>
  <si>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TFL-OCO-311 FR</t>
  </si>
  <si>
    <t>Breathable green mesh backrest, foam-cushioned fabric seat, plastic armrests, a chrome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</si>
  <si>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</si>
  <si>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TFL-OCO-312 FR</t>
  </si>
  <si>
    <t>Breathable black mesh backrest, foam-cushioned fabric seat, plastic armrests with SS/chrome support loops,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</si>
  <si>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</si>
  <si>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Visitor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</si>
  <si>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</si>
  <si>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TFL-VCO-301 FR</t>
  </si>
  <si>
    <t>High-back plush cushioned fabric/leatherette seat and backrest, integrated metal armrests, and a stainless steel (SS) cantilever sled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</si>
  <si>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</si>
  <si>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TFL-VCO-302 FR</t>
  </si>
  <si>
    <t>Breathable black mesh backrest, foam-cushioned fabric seat, plastic armrests, and a stainless steel (SS) cantilever sled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</si>
  <si>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</si>
  <si>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TFL-VCO-303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</si>
  <si>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</si>
  <si>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TFL-VCO-304 FR</t>
  </si>
  <si>
    <t>Foam-cushioned seat and backrest upholstered in black rexine, with a black powder-coated MS (mild steel) round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</si>
  <si>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</si>
  <si>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TFL-VCO-305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</si>
  <si>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</si>
  <si>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TFL-VCO-306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</si>
  <si>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</si>
  <si>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TFL-VCO-307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</si>
  <si>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</si>
  <si>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TFL-VCO-308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</si>
  <si>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</si>
  <si>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TFL-VCO-309 FR</t>
  </si>
  <si>
    <t>Foam-cushioned seat and backrest upholstered in black rexine, with a black powder-coated MS (mild steel)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</si>
  <si>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</si>
  <si>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TFL-VCO-310</t>
  </si>
  <si>
    <t>Foam-cushioned seat and backrest upholstered in black rexine, with a black powder-coated MS (mild steel)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</si>
  <si>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</si>
  <si>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TFL-VCO-311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</si>
  <si>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</si>
  <si>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TFL-VCO-312 WD</t>
  </si>
  <si>
    <t>Slatted solid wood seat and backrest with a black powder-coated MS (mild steel) round tube frame.</t>
  </si>
  <si>
    <t>Antique and Black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</si>
  <si>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</si>
  <si>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TFL-VCO-313 FR</t>
  </si>
  <si>
    <t>Foam-cushioned black rexine seat and backrest with plastic armrests,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</si>
  <si>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</si>
  <si>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TFL-VCO-314 FR</t>
  </si>
  <si>
    <t>Plywood shell back and seat with a black fabric cushion, plastic armrests,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</si>
  <si>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</si>
  <si>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TFL-VCO-315 FR</t>
  </si>
  <si>
    <t>Foam-cushioned black rexine seat and backrest with a chrome gas lift, MS back support,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</si>
  <si>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</si>
  <si>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TFL-VCO-316 FR</t>
  </si>
  <si>
    <t>Foam-cushioned black rexine round seat with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</si>
  <si>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</si>
  <si>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TFL-VCO-317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</si>
  <si>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</si>
  <si>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Training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</si>
  <si>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</si>
  <si>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TFL-CRO-301 FR</t>
  </si>
  <si>
    <t>Training Chair</t>
  </si>
  <si>
    <t>PA Plastic backrest + High density foam seatpad.</t>
  </si>
  <si>
    <t xml:space="preserve">Training Chair/Class Room Chair </t>
  </si>
  <si>
    <t xml:space="preserve">White+Black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</si>
  <si>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</si>
  <si>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TFL-CRO-302</t>
  </si>
  <si>
    <t>Sky Blue+White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</si>
  <si>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</si>
  <si>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TFL-CRO-303 FR</t>
  </si>
  <si>
    <t>Foam-cushioned seat and backrest upholstered in black rexine/artificial leather, an MDF tablet arm, and a black powder-coated MS (mild steel) rod frame with an under-seat wire book rack.</t>
  </si>
  <si>
    <t>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</si>
  <si>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</si>
  <si>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TFL-CRO-304 WD</t>
  </si>
  <si>
    <t>Slatted solid wood seat and backrest, an MDF/laminate tablet arm, and a black powder-coated mild steel (MS) solid rod / bar frame with an under-seat wire mesh rack.</t>
  </si>
  <si>
    <t xml:space="preserve">Antique and Black Color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</si>
  <si>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</si>
  <si>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TFL-CRO-305 LB</t>
  </si>
  <si>
    <t>High-pressure laminate (HPL) / plywood seat, back, and desk with a chrome-plated tubular steel frame and an integrated wire book rack.</t>
  </si>
  <si>
    <t>Antique and SS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</si>
  <si>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</si>
  <si>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Reception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</si>
  <si>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</si>
  <si>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TFL-RPC-301 FR</t>
  </si>
  <si>
    <t>Reception Chair</t>
  </si>
  <si>
    <t>Mild Steel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</si>
  <si>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</si>
  <si>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Auditorium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</si>
  <si>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</si>
  <si>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TFL-ADC-301 FR</t>
  </si>
  <si>
    <t>Auditorium Chair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</si>
  <si>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</si>
  <si>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Podium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</si>
  <si>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</si>
  <si>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TFL-POD-201 LB</t>
  </si>
  <si>
    <t>Podium</t>
  </si>
  <si>
    <t>Size: L 750 x W 550 x H 1250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</si>
  <si>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</si>
  <si>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TFL-POD-203 LB</t>
  </si>
  <si>
    <t>Size: L 850 x W 600 x H 1250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</si>
  <si>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</si>
  <si>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Workstation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</si>
  <si>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</si>
  <si>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TFL-WSO-201 LB</t>
  </si>
  <si>
    <t>Size: L 2400 x W 1200 x H 1050 mm</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</si>
  <si>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</si>
  <si>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</si>
  <si>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TFL-WSO-202 LB</t>
  </si>
  <si>
    <t>Size: L 2000 x W 1200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</si>
  <si>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</si>
  <si>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TFL-WSO-203 LB</t>
  </si>
  <si>
    <t>Fabric with aluminum frame &amp; MFC Board</t>
  </si>
  <si>
    <t>Size: L 3150 x W 1200 x H 1200 mm</t>
  </si>
  <si>
    <t>Able to Choose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</si>
  <si>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</si>
  <si>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TFL-WSO-204 LB</t>
  </si>
  <si>
    <t>Size: L 2400 x W 600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</si>
  <si>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</si>
  <si>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 Reception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</si>
  <si>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</si>
  <si>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TFL-RTO-201 LB</t>
  </si>
  <si>
    <t>Reception Table</t>
  </si>
  <si>
    <t>Reception Desks</t>
  </si>
  <si>
    <t>Size: L 1600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</si>
  <si>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</si>
  <si>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TFL-RTO-202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</si>
  <si>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</si>
  <si>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TFL-RTO-203 LB</t>
  </si>
  <si>
    <t>Size: L 1800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</si>
  <si>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</si>
  <si>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TFL-RTO-204 LB</t>
  </si>
  <si>
    <t>Size: L 1500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</si>
  <si>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</si>
  <si>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Waiting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</si>
  <si>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</si>
  <si>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TFL-GCO-301 WD</t>
  </si>
  <si>
    <t>Waiting chair</t>
  </si>
  <si>
    <t>Made from Kiln-dried Mahagoni wood &amp; Heavy-duty Black Powder-Coated Steel Frame, and Solid Metal T-shaped Base Bars.</t>
  </si>
  <si>
    <t xml:space="preserve">Fixed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</si>
  <si>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</si>
  <si>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TFL-GCO-302 MT</t>
  </si>
  <si>
    <t xml:space="preserve">SS Structure with Powder Coated MS Shell </t>
  </si>
  <si>
    <t>Gray,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</si>
  <si>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</si>
  <si>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TFL-GCO-303 MT</t>
  </si>
  <si>
    <t>Sky Blue,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</si>
  <si>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</si>
  <si>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TFL-GCO-304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</si>
  <si>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</si>
  <si>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Combined File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</si>
  <si>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</si>
  <si>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TFL-FCO-501 MT</t>
  </si>
  <si>
    <t>Office File Cabinet</t>
  </si>
  <si>
    <t xml:space="preserve">Mild Steel </t>
  </si>
  <si>
    <t xml:space="preserve">File Cabinet </t>
  </si>
  <si>
    <t>Size: L 480 x W 610 x H 750 mm</t>
  </si>
  <si>
    <t xml:space="preserve">Gray/Black Color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</si>
  <si>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</si>
  <si>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TFL-FCO-502 MT</t>
  </si>
  <si>
    <t>Size: L 480 x W 610 x H 1070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</si>
  <si>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</si>
  <si>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TFL-FCO-503 MT</t>
  </si>
  <si>
    <t>Size: L 480 x W 610 x H 1400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</si>
  <si>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</si>
  <si>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TFL-FCO-504 MT</t>
  </si>
  <si>
    <t>Size: L 1050 x W610 x H 1070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</si>
  <si>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</si>
  <si>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TFL-FCO-505 MT</t>
  </si>
  <si>
    <t>Size: L 1050 x W610 x H 1400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</si>
  <si>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</si>
  <si>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Almirah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</si>
  <si>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</si>
  <si>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TFL-SAO-501 MT</t>
  </si>
  <si>
    <t>Office Almirah</t>
  </si>
  <si>
    <t xml:space="preserve">Steel Almirah </t>
  </si>
  <si>
    <t>L 990 x W 510 x H 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</si>
  <si>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</si>
  <si>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TFL-SAO-502 MT</t>
  </si>
  <si>
    <t>Size: L 990 x W 510 x H 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</si>
  <si>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</si>
  <si>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TFL-SAO-503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</si>
  <si>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</si>
  <si>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</si>
  <si>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</si>
  <si>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TFL-WSO-501 MT</t>
  </si>
  <si>
    <t>Hydrolic Work Table</t>
  </si>
  <si>
    <r>
      <rPr>
        <b/>
        <sz val="16"/>
        <rFont val="Times New Roman"/>
        <charset val="134"/>
      </rPr>
      <t>Table Top Material :</t>
    </r>
    <r>
      <rPr>
        <sz val="16"/>
        <rFont val="Times New Roman"/>
        <charset val="134"/>
      </rPr>
      <t xml:space="preserve"> 25 mm water-resistant laminated board for a durable and sleek finish that withstands the rigors of daily use. </t>
    </r>
    <r>
      <rPr>
        <b/>
        <sz val="16"/>
        <rFont val="Times New Roman"/>
        <charset val="134"/>
      </rPr>
      <t>Table Frame Material:</t>
    </r>
    <r>
      <rPr>
        <sz val="16"/>
        <rFont val="Times New Roman"/>
        <charset val="134"/>
      </rPr>
      <t xml:space="preserve">
Low carbon steel, ensuring stability and longevity for your workspace. </t>
    </r>
    <r>
      <rPr>
        <b/>
        <sz val="16"/>
        <rFont val="Times New Roman"/>
        <charset val="134"/>
      </rPr>
      <t>Motor Options:</t>
    </r>
    <r>
      <rPr>
        <sz val="16"/>
        <rFont val="Times New Roman"/>
        <charset val="134"/>
      </rPr>
      <t xml:space="preserve">
Choose between a single or double motor option to cater to your specific needs.                         </t>
    </r>
    <r>
      <rPr>
        <b/>
        <sz val="16"/>
        <rFont val="Times New Roman"/>
        <charset val="134"/>
      </rPr>
      <t>Load Capacity:</t>
    </r>
    <r>
      <rPr>
        <sz val="16"/>
        <rFont val="Times New Roman"/>
        <charset val="134"/>
      </rPr>
      <t xml:space="preserve">
Double Motor: Impressive load capacity of up to 120 kg (264.6 lbs), providing robust support for your work essentials.</t>
    </r>
  </si>
  <si>
    <t>Size: L 1200 x W 1260 x H 1205 mm</t>
  </si>
  <si>
    <t>Sky Blue+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</si>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</sst>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_(* \(#,##0\);_(* &quot;-&quot;_);_(@_)"/>
  </numFmts>
  <fonts count="13">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2"/>
      <color theme="1"/>
      <name val="Times New Roman"/>
      <charset val="134"/>
    </font>
    <font>
      <sz val="16"/>
      <color theme="1"/>
      <name val="Times New Roman"/>
      <charset val="134"/>
    </font>
    <font>
      <b/>
      <sz val="20"/>
      <color rgb="FF000000"/>
      <name val="Times New Roman"/>
      <charset val="134"/>
    </font>
    <font>
      <sz val="14"/>
      <name val="Times New Roman"/>
      <charset val="134"/>
    </font>
    <font>
      <b/>
      <sz val="16"/>
      <name val="Times New Roman"/>
      <charset val="134"/>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rgb="FF000000"/>
      </right>
      <top/>
      <bottom/>
      <diagonal/>
    </border>
    <border>
      <left style="thin">
        <color auto="1"/>
      </left>
      <right style="thin">
        <color auto="1"/>
      </right>
      <top/>
      <bottom/>
      <diagonal/>
    </border>
  </borders>
  <cellStyleXfs count="1">
    <xf numFmtId="0" fontId="0" fillId="0" borderId="0"/>
  </cellStyleXfs>
  <cellXfs count="101">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1" fontId="4" fillId="0" borderId="7" xfId="0" applyNumberFormat="1" applyFont="1" applyBorder="1" applyAlignment="1">
      <alignment horizontal="center" vertical="center" shrinkToFit="1"/>
    </xf>
    <xf numFmtId="0" fontId="5" fillId="0" borderId="7" xfId="0" applyFont="1" applyBorder="1" applyAlignment="1">
      <alignment horizontal="center" vertical="center" wrapText="1"/>
    </xf>
    <xf numFmtId="0" fontId="0" fillId="0" borderId="7" xfId="0" applyBorder="1" applyAlignment="1">
      <alignment horizontal="left" vertical="top" wrapText="1"/>
    </xf>
    <xf numFmtId="0" fontId="5" fillId="0" borderId="8" xfId="0" applyFont="1" applyBorder="1" applyAlignment="1">
      <alignment horizontal="center" vertical="center" wrapText="1"/>
    </xf>
    <xf numFmtId="0" fontId="6" fillId="0" borderId="1" xfId="0" applyFont="1" applyBorder="1" applyAlignment="1">
      <alignment horizontal="center" vertical="center"/>
    </xf>
    <xf numFmtId="0" fontId="5" fillId="0" borderId="9"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9" fontId="9" fillId="4" borderId="1" xfId="0" applyNumberFormat="1" applyFont="1" applyFill="1" applyBorder="1" applyAlignment="1">
      <alignment horizontal="center" vertical="center" wrapText="1"/>
    </xf>
    <xf numFmtId="9" fontId="9" fillId="4" borderId="5" xfId="0" applyNumberFormat="1" applyFont="1" applyFill="1" applyBorder="1" applyAlignment="1">
      <alignment horizontal="center" vertical="center" wrapText="1"/>
    </xf>
    <xf numFmtId="0" fontId="0" fillId="0" borderId="5" xfId="0" applyBorder="1" applyAlignment="1">
      <alignment vertical="top" wrapText="1"/>
    </xf>
    <xf numFmtId="0" fontId="0" fillId="0" borderId="1" xfId="0" applyBorder="1" applyAlignment="1">
      <alignment vertical="top" wrapText="1"/>
    </xf>
    <xf numFmtId="1" fontId="6" fillId="0" borderId="7" xfId="0" applyNumberFormat="1" applyFont="1" applyBorder="1" applyAlignment="1">
      <alignment horizontal="center" vertical="center" shrinkToFit="1"/>
    </xf>
    <xf numFmtId="1" fontId="10" fillId="5" borderId="10" xfId="0" applyNumberFormat="1" applyFont="1" applyFill="1" applyBorder="1" applyAlignment="1">
      <alignment vertical="center" shrinkToFit="1"/>
    </xf>
    <xf numFmtId="1" fontId="10" fillId="5" borderId="0" xfId="0" applyNumberFormat="1" applyFont="1" applyFill="1" applyAlignment="1">
      <alignment vertical="center" shrinkToFit="1"/>
    </xf>
    <xf numFmtId="1" fontId="10" fillId="5" borderId="11" xfId="0" applyNumberFormat="1" applyFont="1" applyFill="1" applyBorder="1" applyAlignment="1">
      <alignment vertical="center" shrinkToFi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2" borderId="7" xfId="0" applyFont="1" applyFill="1" applyBorder="1" applyAlignment="1">
      <alignment horizontal="center" vertical="center" wrapText="1"/>
    </xf>
    <xf numFmtId="41"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9" fontId="9" fillId="2" borderId="1" xfId="0" applyNumberFormat="1" applyFont="1" applyFill="1" applyBorder="1" applyAlignment="1">
      <alignment horizontal="center" vertical="center" wrapText="1"/>
    </xf>
    <xf numFmtId="0" fontId="0" fillId="2" borderId="0" xfId="0" applyFill="1" applyAlignment="1">
      <alignment vertical="top"/>
    </xf>
    <xf numFmtId="41" fontId="8" fillId="0" borderId="1" xfId="0" applyNumberFormat="1" applyFont="1" applyBorder="1" applyAlignment="1">
      <alignment horizontal="center" vertical="center"/>
    </xf>
    <xf numFmtId="0" fontId="5" fillId="2" borderId="15" xfId="0" applyFont="1" applyFill="1" applyBorder="1" applyAlignment="1">
      <alignment horizontal="center" vertical="center" wrapText="1"/>
    </xf>
    <xf numFmtId="0" fontId="6" fillId="2" borderId="7" xfId="0" applyFont="1" applyFill="1" applyBorder="1" applyAlignment="1">
      <alignment horizontal="left" vertical="top" wrapText="1"/>
    </xf>
    <xf numFmtId="1" fontId="4" fillId="2" borderId="7" xfId="0" applyNumberFormat="1" applyFont="1" applyFill="1" applyBorder="1" applyAlignment="1">
      <alignment horizontal="center" vertical="center" shrinkToFit="1"/>
    </xf>
    <xf numFmtId="0" fontId="5" fillId="2" borderId="8" xfId="0" applyFont="1" applyFill="1" applyBorder="1" applyAlignment="1">
      <alignment horizontal="center" vertical="center" wrapText="1"/>
    </xf>
    <xf numFmtId="1" fontId="6" fillId="2" borderId="1" xfId="0" applyNumberFormat="1" applyFont="1" applyFill="1" applyBorder="1" applyAlignment="1">
      <alignment horizontal="center" vertical="center" shrinkToFit="1"/>
    </xf>
    <xf numFmtId="0" fontId="5"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 borderId="7" xfId="0" applyFill="1" applyBorder="1" applyAlignment="1">
      <alignment horizontal="left" vertical="top" wrapText="1"/>
    </xf>
    <xf numFmtId="1" fontId="6" fillId="2" borderId="17" xfId="0" applyNumberFormat="1" applyFont="1" applyFill="1" applyBorder="1" applyAlignment="1">
      <alignment horizontal="center" vertical="center" shrinkToFit="1"/>
    </xf>
    <xf numFmtId="1" fontId="6" fillId="2" borderId="7" xfId="0" applyNumberFormat="1" applyFont="1" applyFill="1" applyBorder="1" applyAlignment="1">
      <alignment horizontal="center" vertical="center" shrinkToFit="1"/>
    </xf>
    <xf numFmtId="41"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41"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7" xfId="0" applyFont="1" applyBorder="1" applyAlignment="1">
      <alignment horizontal="center" vertical="center" wrapText="1"/>
    </xf>
    <xf numFmtId="0" fontId="11" fillId="2" borderId="7" xfId="0" applyFont="1" applyFill="1" applyBorder="1" applyAlignment="1">
      <alignment horizontal="center" vertical="center" wrapText="1"/>
    </xf>
    <xf numFmtId="1" fontId="6" fillId="2" borderId="7" xfId="0" applyNumberFormat="1" applyFont="1" applyFill="1" applyBorder="1" applyAlignment="1">
      <alignment horizontal="center" vertical="center" wrapText="1" shrinkToFit="1"/>
    </xf>
    <xf numFmtId="1" fontId="6" fillId="0" borderId="7" xfId="0" applyNumberFormat="1" applyFont="1" applyBorder="1" applyAlignment="1">
      <alignment horizontal="center" vertical="center" wrapText="1" shrinkToFit="1"/>
    </xf>
    <xf numFmtId="1" fontId="6" fillId="2" borderId="8" xfId="0" applyNumberFormat="1" applyFont="1" applyFill="1" applyBorder="1" applyAlignment="1">
      <alignment horizontal="center" vertical="center" shrinkToFit="1"/>
    </xf>
    <xf numFmtId="9" fontId="9" fillId="2" borderId="3" xfId="0" applyNumberFormat="1" applyFont="1" applyFill="1" applyBorder="1" applyAlignment="1">
      <alignment horizontal="center" vertical="center" wrapText="1"/>
    </xf>
    <xf numFmtId="9" fontId="9" fillId="4" borderId="18" xfId="0" applyNumberFormat="1" applyFont="1" applyFill="1" applyBorder="1" applyAlignment="1">
      <alignment horizontal="center" vertical="center" wrapText="1"/>
    </xf>
    <xf numFmtId="0" fontId="0" fillId="0" borderId="3" xfId="0" applyBorder="1" applyAlignment="1">
      <alignment vertical="top" wrapText="1"/>
    </xf>
    <xf numFmtId="0" fontId="0" fillId="0" borderId="18" xfId="0" applyBorder="1" applyAlignment="1">
      <alignment vertical="top" wrapText="1"/>
    </xf>
    <xf numFmtId="0" fontId="0" fillId="0" borderId="5" xfId="0" applyBorder="1" applyAlignment="1">
      <alignment horizontal="left" vertical="top"/>
    </xf>
    <xf numFmtId="0" fontId="0" fillId="0" borderId="5" xfId="0" applyBorder="1" applyAlignment="1">
      <alignment vertical="top"/>
    </xf>
    <xf numFmtId="1" fontId="4" fillId="0" borderId="7" xfId="0" quotePrefix="1" applyNumberFormat="1" applyFont="1" applyBorder="1" applyAlignment="1">
      <alignment horizontal="center" vertical="center" shrinkToFi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3" borderId="1" xfId="0" applyFont="1" applyFill="1" applyBorder="1" applyAlignment="1">
      <alignment horizontal="center" vertical="center" wrapText="1"/>
    </xf>
    <xf numFmtId="1" fontId="10" fillId="5" borderId="10" xfId="0" applyNumberFormat="1" applyFont="1" applyFill="1" applyBorder="1" applyAlignment="1">
      <alignment horizontal="center" vertical="center" shrinkToFit="1"/>
    </xf>
    <xf numFmtId="1" fontId="10" fillId="5" borderId="0" xfId="0" applyNumberFormat="1" applyFont="1" applyFill="1" applyAlignment="1">
      <alignment horizontal="center" vertical="center" shrinkToFit="1"/>
    </xf>
    <xf numFmtId="1" fontId="10" fillId="5" borderId="11" xfId="0" applyNumberFormat="1" applyFont="1" applyFill="1" applyBorder="1" applyAlignment="1">
      <alignment horizontal="center" vertical="center" shrinkToFit="1"/>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1" fontId="4" fillId="2" borderId="12" xfId="0" applyNumberFormat="1" applyFont="1" applyFill="1" applyBorder="1" applyAlignment="1">
      <alignment horizontal="center" vertical="center" shrinkToFit="1"/>
    </xf>
    <xf numFmtId="1" fontId="4" fillId="2" borderId="14" xfId="0" applyNumberFormat="1" applyFont="1" applyFill="1" applyBorder="1" applyAlignment="1">
      <alignment horizontal="center" vertical="center" shrinkToFit="1"/>
    </xf>
    <xf numFmtId="1" fontId="4" fillId="0" borderId="12" xfId="0" applyNumberFormat="1" applyFont="1" applyBorder="1" applyAlignment="1">
      <alignment horizontal="center" vertical="center" shrinkToFit="1"/>
    </xf>
    <xf numFmtId="1" fontId="4" fillId="0" borderId="14" xfId="0" applyNumberFormat="1" applyFont="1" applyBorder="1" applyAlignment="1">
      <alignment horizontal="center" vertical="center" shrinkToFit="1"/>
    </xf>
    <xf numFmtId="0" fontId="5" fillId="2" borderId="1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0" fillId="2" borderId="12" xfId="0" applyFill="1" applyBorder="1" applyAlignment="1">
      <alignment horizontal="center" vertical="top" wrapText="1"/>
    </xf>
    <xf numFmtId="0" fontId="0" fillId="2" borderId="14" xfId="0" applyFill="1" applyBorder="1" applyAlignment="1">
      <alignment horizontal="center" vertical="top" wrapText="1"/>
    </xf>
    <xf numFmtId="0" fontId="0" fillId="0" borderId="12" xfId="0" applyBorder="1" applyAlignment="1">
      <alignment horizontal="center" vertical="top" wrapText="1"/>
    </xf>
    <xf numFmtId="0" fontId="0" fillId="0" borderId="14" xfId="0" applyBorder="1" applyAlignment="1">
      <alignment horizontal="center" vertical="top" wrapText="1"/>
    </xf>
    <xf numFmtId="0" fontId="0" fillId="2" borderId="12" xfId="0" applyFill="1" applyBorder="1" applyAlignment="1">
      <alignment horizontal="left" vertical="top" wrapText="1"/>
    </xf>
    <xf numFmtId="0" fontId="0" fillId="2" borderId="14" xfId="0" applyFill="1"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6" fillId="2" borderId="14" xfId="0" applyFont="1" applyFill="1" applyBorder="1" applyAlignment="1">
      <alignment horizontal="center" vertical="center" wrapText="1"/>
    </xf>
    <xf numFmtId="0" fontId="6" fillId="0" borderId="14" xfId="0" applyFont="1" applyBorder="1" applyAlignment="1">
      <alignment horizontal="center" vertical="center" wrapText="1"/>
    </xf>
    <xf numFmtId="1" fontId="6" fillId="2" borderId="12" xfId="0" applyNumberFormat="1" applyFont="1" applyFill="1" applyBorder="1" applyAlignment="1">
      <alignment horizontal="center" vertical="center" shrinkToFit="1"/>
    </xf>
    <xf numFmtId="1" fontId="6" fillId="2" borderId="14" xfId="0" applyNumberFormat="1" applyFont="1" applyFill="1" applyBorder="1" applyAlignment="1">
      <alignment horizontal="center" vertical="center" shrinkToFit="1"/>
    </xf>
    <xf numFmtId="1" fontId="6" fillId="0" borderId="12" xfId="0" applyNumberFormat="1" applyFont="1" applyBorder="1" applyAlignment="1">
      <alignment horizontal="center" vertical="center" shrinkToFit="1"/>
    </xf>
    <xf numFmtId="1" fontId="6" fillId="0" borderId="14" xfId="0" applyNumberFormat="1" applyFont="1" applyBorder="1" applyAlignment="1">
      <alignment horizontal="center" vertical="center" shrinkToFit="1"/>
    </xf>
    <xf numFmtId="0" fontId="6" fillId="2" borderId="12" xfId="0" applyFont="1" applyFill="1" applyBorder="1" applyAlignment="1">
      <alignment horizontal="center" vertical="center" wrapText="1"/>
    </xf>
    <xf numFmtId="0" fontId="6" fillId="0" borderId="1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3.jpeg"/><Relationship Id="rId84" Type="http://schemas.openxmlformats.org/officeDocument/2006/relationships/image" Target="../media/image84.jpeg"/><Relationship Id="rId138" Type="http://schemas.openxmlformats.org/officeDocument/2006/relationships/image" Target="../media/image138.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53" Type="http://schemas.openxmlformats.org/officeDocument/2006/relationships/image" Target="../media/image53.jpeg"/><Relationship Id="rId74" Type="http://schemas.openxmlformats.org/officeDocument/2006/relationships/image" Target="../media/image74.jpeg"/><Relationship Id="rId128" Type="http://schemas.openxmlformats.org/officeDocument/2006/relationships/image" Target="../media/image128.jpeg"/><Relationship Id="rId149" Type="http://schemas.openxmlformats.org/officeDocument/2006/relationships/image" Target="../media/image149.jpeg"/><Relationship Id="rId5" Type="http://schemas.openxmlformats.org/officeDocument/2006/relationships/image" Target="../media/image5.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113" Type="http://schemas.openxmlformats.org/officeDocument/2006/relationships/image" Target="../media/image113.jpeg"/><Relationship Id="rId118" Type="http://schemas.openxmlformats.org/officeDocument/2006/relationships/image" Target="../media/image118.jpeg"/><Relationship Id="rId134" Type="http://schemas.openxmlformats.org/officeDocument/2006/relationships/image" Target="../media/image134.jpeg"/><Relationship Id="rId139" Type="http://schemas.openxmlformats.org/officeDocument/2006/relationships/image" Target="../media/image139.jpeg"/><Relationship Id="rId80" Type="http://schemas.openxmlformats.org/officeDocument/2006/relationships/image" Target="../media/image80.jpeg"/><Relationship Id="rId85" Type="http://schemas.openxmlformats.org/officeDocument/2006/relationships/image" Target="../media/image85.jpeg"/><Relationship Id="rId150" Type="http://schemas.openxmlformats.org/officeDocument/2006/relationships/image" Target="../media/image150.jpeg"/><Relationship Id="rId155" Type="http://schemas.openxmlformats.org/officeDocument/2006/relationships/image" Target="../media/image15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124" Type="http://schemas.openxmlformats.org/officeDocument/2006/relationships/image" Target="../media/image124.jpeg"/><Relationship Id="rId129" Type="http://schemas.openxmlformats.org/officeDocument/2006/relationships/image" Target="../media/image129.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png"/><Relationship Id="rId96" Type="http://schemas.openxmlformats.org/officeDocument/2006/relationships/image" Target="../media/image96.jpeg"/><Relationship Id="rId140" Type="http://schemas.openxmlformats.org/officeDocument/2006/relationships/image" Target="../media/image140.jpeg"/><Relationship Id="rId145" Type="http://schemas.openxmlformats.org/officeDocument/2006/relationships/image" Target="../media/image145.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119" Type="http://schemas.openxmlformats.org/officeDocument/2006/relationships/image" Target="../media/image119.jpeg"/><Relationship Id="rId44" Type="http://schemas.openxmlformats.org/officeDocument/2006/relationships/image" Target="../media/image44.jpe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jpeg"/><Relationship Id="rId130" Type="http://schemas.openxmlformats.org/officeDocument/2006/relationships/image" Target="../media/image130.jpeg"/><Relationship Id="rId135" Type="http://schemas.openxmlformats.org/officeDocument/2006/relationships/image" Target="../media/image135.jpeg"/><Relationship Id="rId151" Type="http://schemas.openxmlformats.org/officeDocument/2006/relationships/image" Target="../media/image151.jpeg"/><Relationship Id="rId156" Type="http://schemas.openxmlformats.org/officeDocument/2006/relationships/image" Target="../media/image156.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120" Type="http://schemas.openxmlformats.org/officeDocument/2006/relationships/image" Target="../media/image120.jpeg"/><Relationship Id="rId125" Type="http://schemas.openxmlformats.org/officeDocument/2006/relationships/image" Target="../media/image125.jpeg"/><Relationship Id="rId141" Type="http://schemas.openxmlformats.org/officeDocument/2006/relationships/image" Target="../media/image141.jpeg"/><Relationship Id="rId146" Type="http://schemas.openxmlformats.org/officeDocument/2006/relationships/image" Target="../media/image146.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jpeg"/><Relationship Id="rId131" Type="http://schemas.openxmlformats.org/officeDocument/2006/relationships/image" Target="../media/image131.jpeg"/><Relationship Id="rId136" Type="http://schemas.openxmlformats.org/officeDocument/2006/relationships/image" Target="../media/image136.jpeg"/><Relationship Id="rId61" Type="http://schemas.openxmlformats.org/officeDocument/2006/relationships/image" Target="../media/image61.jpeg"/><Relationship Id="rId82" Type="http://schemas.openxmlformats.org/officeDocument/2006/relationships/image" Target="../media/image82.jpeg"/><Relationship Id="rId152" Type="http://schemas.openxmlformats.org/officeDocument/2006/relationships/image" Target="../media/image15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6.jpeg"/><Relationship Id="rId137" Type="http://schemas.openxmlformats.org/officeDocument/2006/relationships/image" Target="../media/image137.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27" Type="http://schemas.openxmlformats.org/officeDocument/2006/relationships/image" Target="../media/image127.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48" Type="http://schemas.openxmlformats.org/officeDocument/2006/relationships/image" Target="../media/image148.jpeg"/><Relationship Id="rId4" Type="http://schemas.openxmlformats.org/officeDocument/2006/relationships/image" Target="../media/image4.jpeg"/><Relationship Id="rId9" Type="http://schemas.openxmlformats.org/officeDocument/2006/relationships/image" Target="../media/image9.jpeg"/><Relationship Id="rId26" Type="http://schemas.openxmlformats.org/officeDocument/2006/relationships/image" Target="../media/image26.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6" Type="http://schemas.openxmlformats.org/officeDocument/2006/relationships/image" Target="../media/image16.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90" Type="http://schemas.openxmlformats.org/officeDocument/2006/relationships/image" Target="../media/image90.jpeg"/></Relationships>
</file>

<file path=xl/drawings/drawing1.xml><?xml version="1.0" encoding="utf-8"?>
<xdr:wsDr xmlns:xdr="http://schemas.openxmlformats.org/drawingml/2006/spreadsheetDrawing" xmlns:a="http://schemas.openxmlformats.org/drawingml/2006/main">
  <xdr:twoCellAnchor>
    <xdr:from>
      <xdr:col>11</xdr:col>
      <xdr:colOff>207151</xdr:colOff>
      <xdr:row>0</xdr:row>
      <xdr:rowOff>66674</xdr:rowOff>
    </xdr:from>
    <xdr:to>
      <xdr:col>12</xdr:col>
      <xdr:colOff>994846</xdr:colOff>
      <xdr:row>1</xdr:row>
      <xdr:rowOff>477611</xdr:rowOff>
    </xdr:to>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786475" y="66040"/>
          <a:ext cx="1598930" cy="919480"/>
        </a:xfrm>
        <a:prstGeom prst="rect">
          <a:avLst/>
        </a:prstGeom>
      </xdr:spPr>
    </xdr:pic>
    <xdr:clientData/>
  </xdr:twoCellAnchor>
  <xdr:twoCellAnchor>
    <xdr:from>
      <xdr:col>4</xdr:col>
      <xdr:colOff>33020</xdr:colOff>
      <xdr:row>7</xdr:row>
      <xdr:rowOff>113829</xdr:rowOff>
    </xdr:from>
    <xdr:to>
      <xdr:col>4</xdr:col>
      <xdr:colOff>1213422</xdr:colOff>
      <xdr:row>7</xdr:row>
      <xdr:rowOff>847724</xdr:rowOff>
    </xdr:to>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02200" y="5234305"/>
          <a:ext cx="1179830" cy="733425"/>
        </a:xfrm>
        <a:prstGeom prst="rect">
          <a:avLst/>
        </a:prstGeom>
      </xdr:spPr>
    </xdr:pic>
    <xdr:clientData/>
  </xdr:twoCellAnchor>
  <xdr:twoCellAnchor>
    <xdr:from>
      <xdr:col>4</xdr:col>
      <xdr:colOff>58928</xdr:colOff>
      <xdr:row>6</xdr:row>
      <xdr:rowOff>200863</xdr:rowOff>
    </xdr:from>
    <xdr:to>
      <xdr:col>4</xdr:col>
      <xdr:colOff>1248932</xdr:colOff>
      <xdr:row>6</xdr:row>
      <xdr:rowOff>800100</xdr:rowOff>
    </xdr:to>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27600" y="4303395"/>
          <a:ext cx="1189990" cy="599440"/>
        </a:xfrm>
        <a:prstGeom prst="rect">
          <a:avLst/>
        </a:prstGeom>
      </xdr:spPr>
    </xdr:pic>
    <xdr:clientData/>
  </xdr:twoCellAnchor>
  <xdr:twoCellAnchor>
    <xdr:from>
      <xdr:col>4</xdr:col>
      <xdr:colOff>52577</xdr:colOff>
      <xdr:row>4</xdr:row>
      <xdr:rowOff>206311</xdr:rowOff>
    </xdr:from>
    <xdr:to>
      <xdr:col>4</xdr:col>
      <xdr:colOff>1211788</xdr:colOff>
      <xdr:row>4</xdr:row>
      <xdr:rowOff>866775</xdr:rowOff>
    </xdr:to>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21250" y="2280920"/>
          <a:ext cx="1159510" cy="661035"/>
        </a:xfrm>
        <a:prstGeom prst="rect">
          <a:avLst/>
        </a:prstGeom>
      </xdr:spPr>
    </xdr:pic>
    <xdr:clientData/>
  </xdr:twoCellAnchor>
  <xdr:twoCellAnchor>
    <xdr:from>
      <xdr:col>4</xdr:col>
      <xdr:colOff>26920</xdr:colOff>
      <xdr:row>5</xdr:row>
      <xdr:rowOff>150362</xdr:rowOff>
    </xdr:from>
    <xdr:to>
      <xdr:col>4</xdr:col>
      <xdr:colOff>1209675</xdr:colOff>
      <xdr:row>5</xdr:row>
      <xdr:rowOff>708158</xdr:rowOff>
    </xdr:to>
    <xdr:pic>
      <xdr:nvPicPr>
        <xdr:cNvPr id="6" name="image4.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95850" y="3242945"/>
          <a:ext cx="1183005" cy="558165"/>
        </a:xfrm>
        <a:prstGeom prst="rect">
          <a:avLst/>
        </a:prstGeom>
      </xdr:spPr>
    </xdr:pic>
    <xdr:clientData/>
  </xdr:twoCellAnchor>
  <xdr:twoCellAnchor>
    <xdr:from>
      <xdr:col>4</xdr:col>
      <xdr:colOff>48640</xdr:colOff>
      <xdr:row>12</xdr:row>
      <xdr:rowOff>167157</xdr:rowOff>
    </xdr:from>
    <xdr:to>
      <xdr:col>4</xdr:col>
      <xdr:colOff>1227560</xdr:colOff>
      <xdr:row>12</xdr:row>
      <xdr:rowOff>819150</xdr:rowOff>
    </xdr:to>
    <xdr:pic>
      <xdr:nvPicPr>
        <xdr:cNvPr id="7" name="image5.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17440" y="10377170"/>
          <a:ext cx="1179195" cy="652145"/>
        </a:xfrm>
        <a:prstGeom prst="rect">
          <a:avLst/>
        </a:prstGeom>
      </xdr:spPr>
    </xdr:pic>
    <xdr:clientData/>
  </xdr:twoCellAnchor>
  <xdr:twoCellAnchor>
    <xdr:from>
      <xdr:col>4</xdr:col>
      <xdr:colOff>59690</xdr:colOff>
      <xdr:row>8</xdr:row>
      <xdr:rowOff>210642</xdr:rowOff>
    </xdr:from>
    <xdr:to>
      <xdr:col>4</xdr:col>
      <xdr:colOff>1214548</xdr:colOff>
      <xdr:row>8</xdr:row>
      <xdr:rowOff>809625</xdr:rowOff>
    </xdr:to>
    <xdr:pic>
      <xdr:nvPicPr>
        <xdr:cNvPr id="8" name="image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28870" y="6348730"/>
          <a:ext cx="1154430" cy="599440"/>
        </a:xfrm>
        <a:prstGeom prst="rect">
          <a:avLst/>
        </a:prstGeom>
      </xdr:spPr>
    </xdr:pic>
    <xdr:clientData/>
  </xdr:twoCellAnchor>
  <xdr:twoCellAnchor>
    <xdr:from>
      <xdr:col>4</xdr:col>
      <xdr:colOff>128680</xdr:colOff>
      <xdr:row>9</xdr:row>
      <xdr:rowOff>194508</xdr:rowOff>
    </xdr:from>
    <xdr:to>
      <xdr:col>4</xdr:col>
      <xdr:colOff>1157354</xdr:colOff>
      <xdr:row>9</xdr:row>
      <xdr:rowOff>800100</xdr:rowOff>
    </xdr:to>
    <xdr:pic>
      <xdr:nvPicPr>
        <xdr:cNvPr id="9" name="image8.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97450" y="7350760"/>
          <a:ext cx="1028700" cy="605790"/>
        </a:xfrm>
        <a:prstGeom prst="rect">
          <a:avLst/>
        </a:prstGeom>
      </xdr:spPr>
    </xdr:pic>
    <xdr:clientData/>
  </xdr:twoCellAnchor>
  <xdr:twoCellAnchor>
    <xdr:from>
      <xdr:col>4</xdr:col>
      <xdr:colOff>50164</xdr:colOff>
      <xdr:row>10</xdr:row>
      <xdr:rowOff>280961</xdr:rowOff>
    </xdr:from>
    <xdr:to>
      <xdr:col>4</xdr:col>
      <xdr:colOff>1245723</xdr:colOff>
      <xdr:row>10</xdr:row>
      <xdr:rowOff>828675</xdr:rowOff>
    </xdr:to>
    <xdr:pic>
      <xdr:nvPicPr>
        <xdr:cNvPr id="10" name="image9.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918710" y="8455025"/>
          <a:ext cx="1195705" cy="548005"/>
        </a:xfrm>
        <a:prstGeom prst="rect">
          <a:avLst/>
        </a:prstGeom>
      </xdr:spPr>
    </xdr:pic>
    <xdr:clientData/>
  </xdr:twoCellAnchor>
  <xdr:twoCellAnchor>
    <xdr:from>
      <xdr:col>4</xdr:col>
      <xdr:colOff>59011</xdr:colOff>
      <xdr:row>11</xdr:row>
      <xdr:rowOff>285667</xdr:rowOff>
    </xdr:from>
    <xdr:to>
      <xdr:col>4</xdr:col>
      <xdr:colOff>1230073</xdr:colOff>
      <xdr:row>11</xdr:row>
      <xdr:rowOff>895350</xdr:rowOff>
    </xdr:to>
    <xdr:pic>
      <xdr:nvPicPr>
        <xdr:cNvPr id="11" name="image1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27600" y="9477375"/>
          <a:ext cx="1171575" cy="610235"/>
        </a:xfrm>
        <a:prstGeom prst="rect">
          <a:avLst/>
        </a:prstGeom>
      </xdr:spPr>
    </xdr:pic>
    <xdr:clientData/>
  </xdr:twoCellAnchor>
  <xdr:twoCellAnchor>
    <xdr:from>
      <xdr:col>4</xdr:col>
      <xdr:colOff>27685</xdr:colOff>
      <xdr:row>13</xdr:row>
      <xdr:rowOff>180885</xdr:rowOff>
    </xdr:from>
    <xdr:to>
      <xdr:col>4</xdr:col>
      <xdr:colOff>1209675</xdr:colOff>
      <xdr:row>13</xdr:row>
      <xdr:rowOff>740874</xdr:rowOff>
    </xdr:to>
    <xdr:pic>
      <xdr:nvPicPr>
        <xdr:cNvPr id="12" name="image1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896485" y="11408410"/>
          <a:ext cx="1182370" cy="560070"/>
        </a:xfrm>
        <a:prstGeom prst="rect">
          <a:avLst/>
        </a:prstGeom>
      </xdr:spPr>
    </xdr:pic>
    <xdr:clientData/>
  </xdr:twoCellAnchor>
  <xdr:twoCellAnchor>
    <xdr:from>
      <xdr:col>4</xdr:col>
      <xdr:colOff>92327</xdr:colOff>
      <xdr:row>14</xdr:row>
      <xdr:rowOff>270979</xdr:rowOff>
    </xdr:from>
    <xdr:to>
      <xdr:col>4</xdr:col>
      <xdr:colOff>1205330</xdr:colOff>
      <xdr:row>14</xdr:row>
      <xdr:rowOff>866775</xdr:rowOff>
    </xdr:to>
    <xdr:pic>
      <xdr:nvPicPr>
        <xdr:cNvPr id="13" name="image12.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961255" y="12516485"/>
          <a:ext cx="1113155" cy="596265"/>
        </a:xfrm>
        <a:prstGeom prst="rect">
          <a:avLst/>
        </a:prstGeom>
      </xdr:spPr>
    </xdr:pic>
    <xdr:clientData/>
  </xdr:twoCellAnchor>
  <xdr:twoCellAnchor>
    <xdr:from>
      <xdr:col>4</xdr:col>
      <xdr:colOff>135890</xdr:colOff>
      <xdr:row>15</xdr:row>
      <xdr:rowOff>186004</xdr:rowOff>
    </xdr:from>
    <xdr:to>
      <xdr:col>4</xdr:col>
      <xdr:colOff>1201839</xdr:colOff>
      <xdr:row>15</xdr:row>
      <xdr:rowOff>834605</xdr:rowOff>
    </xdr:to>
    <xdr:pic>
      <xdr:nvPicPr>
        <xdr:cNvPr id="14" name="image1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05070" y="13449300"/>
          <a:ext cx="1065530" cy="648970"/>
        </a:xfrm>
        <a:prstGeom prst="rect">
          <a:avLst/>
        </a:prstGeom>
      </xdr:spPr>
    </xdr:pic>
    <xdr:clientData/>
  </xdr:twoCellAnchor>
  <xdr:twoCellAnchor>
    <xdr:from>
      <xdr:col>4</xdr:col>
      <xdr:colOff>62229</xdr:colOff>
      <xdr:row>18</xdr:row>
      <xdr:rowOff>186309</xdr:rowOff>
    </xdr:from>
    <xdr:to>
      <xdr:col>4</xdr:col>
      <xdr:colOff>1199976</xdr:colOff>
      <xdr:row>18</xdr:row>
      <xdr:rowOff>809625</xdr:rowOff>
    </xdr:to>
    <xdr:pic>
      <xdr:nvPicPr>
        <xdr:cNvPr id="15" name="image14.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930775" y="16503650"/>
          <a:ext cx="1137920" cy="623570"/>
        </a:xfrm>
        <a:prstGeom prst="rect">
          <a:avLst/>
        </a:prstGeom>
      </xdr:spPr>
    </xdr:pic>
    <xdr:clientData/>
  </xdr:twoCellAnchor>
  <xdr:twoCellAnchor>
    <xdr:from>
      <xdr:col>4</xdr:col>
      <xdr:colOff>48867</xdr:colOff>
      <xdr:row>21</xdr:row>
      <xdr:rowOff>202884</xdr:rowOff>
    </xdr:from>
    <xdr:to>
      <xdr:col>4</xdr:col>
      <xdr:colOff>1190625</xdr:colOff>
      <xdr:row>21</xdr:row>
      <xdr:rowOff>838200</xdr:rowOff>
    </xdr:to>
    <xdr:pic>
      <xdr:nvPicPr>
        <xdr:cNvPr id="16" name="image15.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917440" y="19573875"/>
          <a:ext cx="1142365" cy="635635"/>
        </a:xfrm>
        <a:prstGeom prst="rect">
          <a:avLst/>
        </a:prstGeom>
      </xdr:spPr>
    </xdr:pic>
    <xdr:clientData/>
  </xdr:twoCellAnchor>
  <xdr:twoCellAnchor>
    <xdr:from>
      <xdr:col>4</xdr:col>
      <xdr:colOff>34670</xdr:colOff>
      <xdr:row>16</xdr:row>
      <xdr:rowOff>240068</xdr:rowOff>
    </xdr:from>
    <xdr:to>
      <xdr:col>4</xdr:col>
      <xdr:colOff>1239383</xdr:colOff>
      <xdr:row>16</xdr:row>
      <xdr:rowOff>762000</xdr:rowOff>
    </xdr:to>
    <xdr:pic>
      <xdr:nvPicPr>
        <xdr:cNvPr id="17" name="image16.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903470" y="14521815"/>
          <a:ext cx="1204595" cy="521970"/>
        </a:xfrm>
        <a:prstGeom prst="rect">
          <a:avLst/>
        </a:prstGeom>
      </xdr:spPr>
    </xdr:pic>
    <xdr:clientData/>
  </xdr:twoCellAnchor>
  <xdr:twoCellAnchor>
    <xdr:from>
      <xdr:col>4</xdr:col>
      <xdr:colOff>32511</xdr:colOff>
      <xdr:row>17</xdr:row>
      <xdr:rowOff>128637</xdr:rowOff>
    </xdr:from>
    <xdr:to>
      <xdr:col>4</xdr:col>
      <xdr:colOff>1196778</xdr:colOff>
      <xdr:row>17</xdr:row>
      <xdr:rowOff>828674</xdr:rowOff>
    </xdr:to>
    <xdr:pic>
      <xdr:nvPicPr>
        <xdr:cNvPr id="18" name="image17.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901565" y="15427960"/>
          <a:ext cx="1163955" cy="699770"/>
        </a:xfrm>
        <a:prstGeom prst="rect">
          <a:avLst/>
        </a:prstGeom>
      </xdr:spPr>
    </xdr:pic>
    <xdr:clientData/>
  </xdr:twoCellAnchor>
  <xdr:twoCellAnchor>
    <xdr:from>
      <xdr:col>4</xdr:col>
      <xdr:colOff>56640</xdr:colOff>
      <xdr:row>19</xdr:row>
      <xdr:rowOff>198056</xdr:rowOff>
    </xdr:from>
    <xdr:to>
      <xdr:col>4</xdr:col>
      <xdr:colOff>1217475</xdr:colOff>
      <xdr:row>19</xdr:row>
      <xdr:rowOff>923925</xdr:rowOff>
    </xdr:to>
    <xdr:pic>
      <xdr:nvPicPr>
        <xdr:cNvPr id="19" name="image18.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925695" y="17532985"/>
          <a:ext cx="1160780" cy="726440"/>
        </a:xfrm>
        <a:prstGeom prst="rect">
          <a:avLst/>
        </a:prstGeom>
      </xdr:spPr>
    </xdr:pic>
    <xdr:clientData/>
  </xdr:twoCellAnchor>
  <xdr:twoCellAnchor>
    <xdr:from>
      <xdr:col>4</xdr:col>
      <xdr:colOff>106297</xdr:colOff>
      <xdr:row>20</xdr:row>
      <xdr:rowOff>134302</xdr:rowOff>
    </xdr:from>
    <xdr:to>
      <xdr:col>4</xdr:col>
      <xdr:colOff>1219610</xdr:colOff>
      <xdr:row>20</xdr:row>
      <xdr:rowOff>838200</xdr:rowOff>
    </xdr:to>
    <xdr:pic>
      <xdr:nvPicPr>
        <xdr:cNvPr id="20" name="image19.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975225" y="18487390"/>
          <a:ext cx="1113155" cy="704215"/>
        </a:xfrm>
        <a:prstGeom prst="rect">
          <a:avLst/>
        </a:prstGeom>
      </xdr:spPr>
    </xdr:pic>
    <xdr:clientData/>
  </xdr:twoCellAnchor>
  <xdr:twoCellAnchor>
    <xdr:from>
      <xdr:col>4</xdr:col>
      <xdr:colOff>100329</xdr:colOff>
      <xdr:row>22</xdr:row>
      <xdr:rowOff>243127</xdr:rowOff>
    </xdr:from>
    <xdr:to>
      <xdr:col>4</xdr:col>
      <xdr:colOff>1205365</xdr:colOff>
      <xdr:row>22</xdr:row>
      <xdr:rowOff>847724</xdr:rowOff>
    </xdr:to>
    <xdr:pic>
      <xdr:nvPicPr>
        <xdr:cNvPr id="21" name="image20.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968875" y="20631785"/>
          <a:ext cx="1105535" cy="604520"/>
        </a:xfrm>
        <a:prstGeom prst="rect">
          <a:avLst/>
        </a:prstGeom>
      </xdr:spPr>
    </xdr:pic>
    <xdr:clientData/>
  </xdr:twoCellAnchor>
  <xdr:twoCellAnchor>
    <xdr:from>
      <xdr:col>4</xdr:col>
      <xdr:colOff>103608</xdr:colOff>
      <xdr:row>23</xdr:row>
      <xdr:rowOff>256225</xdr:rowOff>
    </xdr:from>
    <xdr:to>
      <xdr:col>4</xdr:col>
      <xdr:colOff>1229544</xdr:colOff>
      <xdr:row>23</xdr:row>
      <xdr:rowOff>866774</xdr:rowOff>
    </xdr:to>
    <xdr:pic>
      <xdr:nvPicPr>
        <xdr:cNvPr id="22" name="image21.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972685" y="21663025"/>
          <a:ext cx="1125855" cy="610235"/>
        </a:xfrm>
        <a:prstGeom prst="rect">
          <a:avLst/>
        </a:prstGeom>
      </xdr:spPr>
    </xdr:pic>
    <xdr:clientData/>
  </xdr:twoCellAnchor>
  <xdr:twoCellAnchor>
    <xdr:from>
      <xdr:col>4</xdr:col>
      <xdr:colOff>16128</xdr:colOff>
      <xdr:row>24</xdr:row>
      <xdr:rowOff>71398</xdr:rowOff>
    </xdr:from>
    <xdr:to>
      <xdr:col>4</xdr:col>
      <xdr:colOff>1228980</xdr:colOff>
      <xdr:row>24</xdr:row>
      <xdr:rowOff>704850</xdr:rowOff>
    </xdr:to>
    <xdr:pic>
      <xdr:nvPicPr>
        <xdr:cNvPr id="23" name="image22.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885055" y="22496145"/>
          <a:ext cx="1212850" cy="633730"/>
        </a:xfrm>
        <a:prstGeom prst="rect">
          <a:avLst/>
        </a:prstGeom>
      </xdr:spPr>
    </xdr:pic>
    <xdr:clientData/>
  </xdr:twoCellAnchor>
  <xdr:twoCellAnchor>
    <xdr:from>
      <xdr:col>4</xdr:col>
      <xdr:colOff>31114</xdr:colOff>
      <xdr:row>25</xdr:row>
      <xdr:rowOff>66941</xdr:rowOff>
    </xdr:from>
    <xdr:to>
      <xdr:col>4</xdr:col>
      <xdr:colOff>1221167</xdr:colOff>
      <xdr:row>25</xdr:row>
      <xdr:rowOff>771524</xdr:rowOff>
    </xdr:to>
    <xdr:pic>
      <xdr:nvPicPr>
        <xdr:cNvPr id="24" name="image23.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899660" y="23509605"/>
          <a:ext cx="1190625" cy="704215"/>
        </a:xfrm>
        <a:prstGeom prst="rect">
          <a:avLst/>
        </a:prstGeom>
      </xdr:spPr>
    </xdr:pic>
    <xdr:clientData/>
  </xdr:twoCellAnchor>
  <xdr:twoCellAnchor>
    <xdr:from>
      <xdr:col>4</xdr:col>
      <xdr:colOff>104266</xdr:colOff>
      <xdr:row>26</xdr:row>
      <xdr:rowOff>102959</xdr:rowOff>
    </xdr:from>
    <xdr:to>
      <xdr:col>4</xdr:col>
      <xdr:colOff>1178510</xdr:colOff>
      <xdr:row>26</xdr:row>
      <xdr:rowOff>847725</xdr:rowOff>
    </xdr:to>
    <xdr:pic>
      <xdr:nvPicPr>
        <xdr:cNvPr id="25" name="image24.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973320" y="24563705"/>
          <a:ext cx="1073785" cy="744855"/>
        </a:xfrm>
        <a:prstGeom prst="rect">
          <a:avLst/>
        </a:prstGeom>
      </xdr:spPr>
    </xdr:pic>
    <xdr:clientData/>
  </xdr:twoCellAnchor>
  <xdr:twoCellAnchor>
    <xdr:from>
      <xdr:col>4</xdr:col>
      <xdr:colOff>125658</xdr:colOff>
      <xdr:row>27</xdr:row>
      <xdr:rowOff>65601</xdr:rowOff>
    </xdr:from>
    <xdr:to>
      <xdr:col>4</xdr:col>
      <xdr:colOff>1192090</xdr:colOff>
      <xdr:row>27</xdr:row>
      <xdr:rowOff>828674</xdr:rowOff>
    </xdr:to>
    <xdr:pic>
      <xdr:nvPicPr>
        <xdr:cNvPr id="26" name="image25.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994275" y="25544145"/>
          <a:ext cx="1066800" cy="762635"/>
        </a:xfrm>
        <a:prstGeom prst="rect">
          <a:avLst/>
        </a:prstGeom>
      </xdr:spPr>
    </xdr:pic>
    <xdr:clientData/>
  </xdr:twoCellAnchor>
  <xdr:twoCellAnchor>
    <xdr:from>
      <xdr:col>4</xdr:col>
      <xdr:colOff>130603</xdr:colOff>
      <xdr:row>28</xdr:row>
      <xdr:rowOff>165011</xdr:rowOff>
    </xdr:from>
    <xdr:to>
      <xdr:col>4</xdr:col>
      <xdr:colOff>1213939</xdr:colOff>
      <xdr:row>28</xdr:row>
      <xdr:rowOff>828675</xdr:rowOff>
    </xdr:to>
    <xdr:pic>
      <xdr:nvPicPr>
        <xdr:cNvPr id="27" name="image26.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999355" y="26661110"/>
          <a:ext cx="1083310" cy="664210"/>
        </a:xfrm>
        <a:prstGeom prst="rect">
          <a:avLst/>
        </a:prstGeom>
      </xdr:spPr>
    </xdr:pic>
    <xdr:clientData/>
  </xdr:twoCellAnchor>
  <xdr:twoCellAnchor>
    <xdr:from>
      <xdr:col>4</xdr:col>
      <xdr:colOff>89749</xdr:colOff>
      <xdr:row>29</xdr:row>
      <xdr:rowOff>221346</xdr:rowOff>
    </xdr:from>
    <xdr:to>
      <xdr:col>4</xdr:col>
      <xdr:colOff>1192657</xdr:colOff>
      <xdr:row>29</xdr:row>
      <xdr:rowOff>847725</xdr:rowOff>
    </xdr:to>
    <xdr:pic>
      <xdr:nvPicPr>
        <xdr:cNvPr id="28" name="image27.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958715" y="27735530"/>
          <a:ext cx="1102995" cy="626745"/>
        </a:xfrm>
        <a:prstGeom prst="rect">
          <a:avLst/>
        </a:prstGeom>
      </xdr:spPr>
    </xdr:pic>
    <xdr:clientData/>
  </xdr:twoCellAnchor>
  <xdr:twoCellAnchor>
    <xdr:from>
      <xdr:col>4</xdr:col>
      <xdr:colOff>48133</xdr:colOff>
      <xdr:row>30</xdr:row>
      <xdr:rowOff>144804</xdr:rowOff>
    </xdr:from>
    <xdr:to>
      <xdr:col>4</xdr:col>
      <xdr:colOff>1209675</xdr:colOff>
      <xdr:row>30</xdr:row>
      <xdr:rowOff>762829</xdr:rowOff>
    </xdr:to>
    <xdr:pic>
      <xdr:nvPicPr>
        <xdr:cNvPr id="29" name="image28.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916805" y="28677235"/>
          <a:ext cx="1162050" cy="617855"/>
        </a:xfrm>
        <a:prstGeom prst="rect">
          <a:avLst/>
        </a:prstGeom>
      </xdr:spPr>
    </xdr:pic>
    <xdr:clientData/>
  </xdr:twoCellAnchor>
  <xdr:twoCellAnchor>
    <xdr:from>
      <xdr:col>4</xdr:col>
      <xdr:colOff>251839</xdr:colOff>
      <xdr:row>33</xdr:row>
      <xdr:rowOff>43471</xdr:rowOff>
    </xdr:from>
    <xdr:to>
      <xdr:col>4</xdr:col>
      <xdr:colOff>1019174</xdr:colOff>
      <xdr:row>33</xdr:row>
      <xdr:rowOff>972452</xdr:rowOff>
    </xdr:to>
    <xdr:pic>
      <xdr:nvPicPr>
        <xdr:cNvPr id="30" name="image29.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120640" y="31248350"/>
          <a:ext cx="767080" cy="929005"/>
        </a:xfrm>
        <a:prstGeom prst="rect">
          <a:avLst/>
        </a:prstGeom>
      </xdr:spPr>
    </xdr:pic>
    <xdr:clientData/>
  </xdr:twoCellAnchor>
  <xdr:twoCellAnchor>
    <xdr:from>
      <xdr:col>4</xdr:col>
      <xdr:colOff>276223</xdr:colOff>
      <xdr:row>35</xdr:row>
      <xdr:rowOff>59271</xdr:rowOff>
    </xdr:from>
    <xdr:to>
      <xdr:col>4</xdr:col>
      <xdr:colOff>1023672</xdr:colOff>
      <xdr:row>35</xdr:row>
      <xdr:rowOff>933450</xdr:rowOff>
    </xdr:to>
    <xdr:pic>
      <xdr:nvPicPr>
        <xdr:cNvPr id="31" name="image30.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144770" y="33300035"/>
          <a:ext cx="748030" cy="874395"/>
        </a:xfrm>
        <a:prstGeom prst="rect">
          <a:avLst/>
        </a:prstGeom>
      </xdr:spPr>
    </xdr:pic>
    <xdr:clientData/>
  </xdr:twoCellAnchor>
  <xdr:twoCellAnchor>
    <xdr:from>
      <xdr:col>4</xdr:col>
      <xdr:colOff>49148</xdr:colOff>
      <xdr:row>41</xdr:row>
      <xdr:rowOff>109042</xdr:rowOff>
    </xdr:from>
    <xdr:to>
      <xdr:col>4</xdr:col>
      <xdr:colOff>1219200</xdr:colOff>
      <xdr:row>41</xdr:row>
      <xdr:rowOff>802951</xdr:rowOff>
    </xdr:to>
    <xdr:pic>
      <xdr:nvPicPr>
        <xdr:cNvPr id="32" name="image31.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918075" y="39075995"/>
          <a:ext cx="1170305" cy="694055"/>
        </a:xfrm>
        <a:prstGeom prst="rect">
          <a:avLst/>
        </a:prstGeom>
      </xdr:spPr>
    </xdr:pic>
    <xdr:clientData/>
  </xdr:twoCellAnchor>
  <xdr:twoCellAnchor>
    <xdr:from>
      <xdr:col>4</xdr:col>
      <xdr:colOff>50671</xdr:colOff>
      <xdr:row>42</xdr:row>
      <xdr:rowOff>154938</xdr:rowOff>
    </xdr:from>
    <xdr:to>
      <xdr:col>4</xdr:col>
      <xdr:colOff>1209492</xdr:colOff>
      <xdr:row>42</xdr:row>
      <xdr:rowOff>866775</xdr:rowOff>
    </xdr:to>
    <xdr:pic>
      <xdr:nvPicPr>
        <xdr:cNvPr id="33" name="image32.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919345" y="40139620"/>
          <a:ext cx="1158875" cy="712470"/>
        </a:xfrm>
        <a:prstGeom prst="rect">
          <a:avLst/>
        </a:prstGeom>
      </xdr:spPr>
    </xdr:pic>
    <xdr:clientData/>
  </xdr:twoCellAnchor>
  <xdr:twoCellAnchor>
    <xdr:from>
      <xdr:col>4</xdr:col>
      <xdr:colOff>231774</xdr:colOff>
      <xdr:row>43</xdr:row>
      <xdr:rowOff>96620</xdr:rowOff>
    </xdr:from>
    <xdr:to>
      <xdr:col>4</xdr:col>
      <xdr:colOff>1143000</xdr:colOff>
      <xdr:row>43</xdr:row>
      <xdr:rowOff>957337</xdr:rowOff>
    </xdr:to>
    <xdr:pic>
      <xdr:nvPicPr>
        <xdr:cNvPr id="34" name="image33.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100320" y="41099740"/>
          <a:ext cx="911860" cy="860425"/>
        </a:xfrm>
        <a:prstGeom prst="rect">
          <a:avLst/>
        </a:prstGeom>
      </xdr:spPr>
    </xdr:pic>
    <xdr:clientData/>
  </xdr:twoCellAnchor>
  <xdr:twoCellAnchor>
    <xdr:from>
      <xdr:col>4</xdr:col>
      <xdr:colOff>35178</xdr:colOff>
      <xdr:row>31</xdr:row>
      <xdr:rowOff>117727</xdr:rowOff>
    </xdr:from>
    <xdr:to>
      <xdr:col>4</xdr:col>
      <xdr:colOff>1249366</xdr:colOff>
      <xdr:row>31</xdr:row>
      <xdr:rowOff>847724</xdr:rowOff>
    </xdr:to>
    <xdr:pic>
      <xdr:nvPicPr>
        <xdr:cNvPr id="35" name="image34.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904105" y="29667835"/>
          <a:ext cx="1214120" cy="729615"/>
        </a:xfrm>
        <a:prstGeom prst="rect">
          <a:avLst/>
        </a:prstGeom>
      </xdr:spPr>
    </xdr:pic>
    <xdr:clientData/>
  </xdr:twoCellAnchor>
  <xdr:twoCellAnchor>
    <xdr:from>
      <xdr:col>4</xdr:col>
      <xdr:colOff>215137</xdr:colOff>
      <xdr:row>34</xdr:row>
      <xdr:rowOff>52984</xdr:rowOff>
    </xdr:from>
    <xdr:to>
      <xdr:col>4</xdr:col>
      <xdr:colOff>1000125</xdr:colOff>
      <xdr:row>34</xdr:row>
      <xdr:rowOff>983152</xdr:rowOff>
    </xdr:to>
    <xdr:pic>
      <xdr:nvPicPr>
        <xdr:cNvPr id="36" name="image35.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5083810" y="32275780"/>
          <a:ext cx="785495" cy="930275"/>
        </a:xfrm>
        <a:prstGeom prst="rect">
          <a:avLst/>
        </a:prstGeom>
      </xdr:spPr>
    </xdr:pic>
    <xdr:clientData/>
  </xdr:twoCellAnchor>
  <xdr:twoCellAnchor>
    <xdr:from>
      <xdr:col>4</xdr:col>
      <xdr:colOff>211073</xdr:colOff>
      <xdr:row>36</xdr:row>
      <xdr:rowOff>70585</xdr:rowOff>
    </xdr:from>
    <xdr:to>
      <xdr:col>4</xdr:col>
      <xdr:colOff>1122632</xdr:colOff>
      <xdr:row>36</xdr:row>
      <xdr:rowOff>923924</xdr:rowOff>
    </xdr:to>
    <xdr:pic>
      <xdr:nvPicPr>
        <xdr:cNvPr id="37" name="image36.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080000" y="34329370"/>
          <a:ext cx="911225" cy="852805"/>
        </a:xfrm>
        <a:prstGeom prst="rect">
          <a:avLst/>
        </a:prstGeom>
      </xdr:spPr>
    </xdr:pic>
    <xdr:clientData/>
  </xdr:twoCellAnchor>
  <xdr:twoCellAnchor>
    <xdr:from>
      <xdr:col>4</xdr:col>
      <xdr:colOff>226239</xdr:colOff>
      <xdr:row>37</xdr:row>
      <xdr:rowOff>98545</xdr:rowOff>
    </xdr:from>
    <xdr:to>
      <xdr:col>4</xdr:col>
      <xdr:colOff>1131220</xdr:colOff>
      <xdr:row>37</xdr:row>
      <xdr:rowOff>904875</xdr:rowOff>
    </xdr:to>
    <xdr:pic>
      <xdr:nvPicPr>
        <xdr:cNvPr id="38" name="image37.jpe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095240" y="35375215"/>
          <a:ext cx="904875" cy="806450"/>
        </a:xfrm>
        <a:prstGeom prst="rect">
          <a:avLst/>
        </a:prstGeom>
      </xdr:spPr>
    </xdr:pic>
    <xdr:clientData/>
  </xdr:twoCellAnchor>
  <xdr:twoCellAnchor>
    <xdr:from>
      <xdr:col>4</xdr:col>
      <xdr:colOff>25399</xdr:colOff>
      <xdr:row>38</xdr:row>
      <xdr:rowOff>216572</xdr:rowOff>
    </xdr:from>
    <xdr:to>
      <xdr:col>4</xdr:col>
      <xdr:colOff>1190625</xdr:colOff>
      <xdr:row>38</xdr:row>
      <xdr:rowOff>895350</xdr:rowOff>
    </xdr:to>
    <xdr:pic>
      <xdr:nvPicPr>
        <xdr:cNvPr id="39" name="image38.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893945" y="36511230"/>
          <a:ext cx="1165860" cy="678815"/>
        </a:xfrm>
        <a:prstGeom prst="rect">
          <a:avLst/>
        </a:prstGeom>
      </xdr:spPr>
    </xdr:pic>
    <xdr:clientData/>
  </xdr:twoCellAnchor>
  <xdr:twoCellAnchor>
    <xdr:from>
      <xdr:col>4</xdr:col>
      <xdr:colOff>39242</xdr:colOff>
      <xdr:row>39</xdr:row>
      <xdr:rowOff>231482</xdr:rowOff>
    </xdr:from>
    <xdr:to>
      <xdr:col>4</xdr:col>
      <xdr:colOff>1190626</xdr:colOff>
      <xdr:row>39</xdr:row>
      <xdr:rowOff>647700</xdr:rowOff>
    </xdr:to>
    <xdr:pic>
      <xdr:nvPicPr>
        <xdr:cNvPr id="40" name="image39.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907915" y="37543740"/>
          <a:ext cx="1151890" cy="416560"/>
        </a:xfrm>
        <a:prstGeom prst="rect">
          <a:avLst/>
        </a:prstGeom>
      </xdr:spPr>
    </xdr:pic>
    <xdr:clientData/>
  </xdr:twoCellAnchor>
  <xdr:twoCellAnchor>
    <xdr:from>
      <xdr:col>4</xdr:col>
      <xdr:colOff>117347</xdr:colOff>
      <xdr:row>44</xdr:row>
      <xdr:rowOff>94068</xdr:rowOff>
    </xdr:from>
    <xdr:to>
      <xdr:col>4</xdr:col>
      <xdr:colOff>1142328</xdr:colOff>
      <xdr:row>44</xdr:row>
      <xdr:rowOff>857250</xdr:rowOff>
    </xdr:to>
    <xdr:pic>
      <xdr:nvPicPr>
        <xdr:cNvPr id="41" name="image40.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986020" y="42115105"/>
          <a:ext cx="1024890" cy="763270"/>
        </a:xfrm>
        <a:prstGeom prst="rect">
          <a:avLst/>
        </a:prstGeom>
      </xdr:spPr>
    </xdr:pic>
    <xdr:clientData/>
  </xdr:twoCellAnchor>
  <xdr:twoCellAnchor>
    <xdr:from>
      <xdr:col>4</xdr:col>
      <xdr:colOff>48005</xdr:colOff>
      <xdr:row>45</xdr:row>
      <xdr:rowOff>142518</xdr:rowOff>
    </xdr:from>
    <xdr:to>
      <xdr:col>4</xdr:col>
      <xdr:colOff>1126489</xdr:colOff>
      <xdr:row>45</xdr:row>
      <xdr:rowOff>838199</xdr:rowOff>
    </xdr:to>
    <xdr:pic>
      <xdr:nvPicPr>
        <xdr:cNvPr id="42" name="image41.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916805" y="43181270"/>
          <a:ext cx="1078230" cy="695325"/>
        </a:xfrm>
        <a:prstGeom prst="rect">
          <a:avLst/>
        </a:prstGeom>
      </xdr:spPr>
    </xdr:pic>
    <xdr:clientData/>
  </xdr:twoCellAnchor>
  <xdr:twoCellAnchor>
    <xdr:from>
      <xdr:col>4</xdr:col>
      <xdr:colOff>22858</xdr:colOff>
      <xdr:row>46</xdr:row>
      <xdr:rowOff>112572</xdr:rowOff>
    </xdr:from>
    <xdr:to>
      <xdr:col>4</xdr:col>
      <xdr:colOff>1234499</xdr:colOff>
      <xdr:row>46</xdr:row>
      <xdr:rowOff>819150</xdr:rowOff>
    </xdr:to>
    <xdr:pic>
      <xdr:nvPicPr>
        <xdr:cNvPr id="43" name="image42.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891405" y="44169330"/>
          <a:ext cx="1212215" cy="706755"/>
        </a:xfrm>
        <a:prstGeom prst="rect">
          <a:avLst/>
        </a:prstGeom>
      </xdr:spPr>
    </xdr:pic>
    <xdr:clientData/>
  </xdr:twoCellAnchor>
  <xdr:twoCellAnchor>
    <xdr:from>
      <xdr:col>4</xdr:col>
      <xdr:colOff>82802</xdr:colOff>
      <xdr:row>48</xdr:row>
      <xdr:rowOff>104495</xdr:rowOff>
    </xdr:from>
    <xdr:to>
      <xdr:col>4</xdr:col>
      <xdr:colOff>1172685</xdr:colOff>
      <xdr:row>48</xdr:row>
      <xdr:rowOff>847725</xdr:rowOff>
    </xdr:to>
    <xdr:pic>
      <xdr:nvPicPr>
        <xdr:cNvPr id="44" name="image43.jpe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951730" y="45815885"/>
          <a:ext cx="1089660" cy="743585"/>
        </a:xfrm>
        <a:prstGeom prst="rect">
          <a:avLst/>
        </a:prstGeom>
      </xdr:spPr>
    </xdr:pic>
    <xdr:clientData/>
  </xdr:twoCellAnchor>
  <xdr:twoCellAnchor>
    <xdr:from>
      <xdr:col>4</xdr:col>
      <xdr:colOff>146049</xdr:colOff>
      <xdr:row>51</xdr:row>
      <xdr:rowOff>46482</xdr:rowOff>
    </xdr:from>
    <xdr:to>
      <xdr:col>4</xdr:col>
      <xdr:colOff>1164021</xdr:colOff>
      <xdr:row>51</xdr:row>
      <xdr:rowOff>895350</xdr:rowOff>
    </xdr:to>
    <xdr:pic>
      <xdr:nvPicPr>
        <xdr:cNvPr id="45" name="image44.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5014595" y="48811815"/>
          <a:ext cx="1018540" cy="848995"/>
        </a:xfrm>
        <a:prstGeom prst="rect">
          <a:avLst/>
        </a:prstGeom>
      </xdr:spPr>
    </xdr:pic>
    <xdr:clientData/>
  </xdr:twoCellAnchor>
  <xdr:twoCellAnchor>
    <xdr:from>
      <xdr:col>4</xdr:col>
      <xdr:colOff>248023</xdr:colOff>
      <xdr:row>56</xdr:row>
      <xdr:rowOff>24643</xdr:rowOff>
    </xdr:from>
    <xdr:to>
      <xdr:col>4</xdr:col>
      <xdr:colOff>1028766</xdr:colOff>
      <xdr:row>56</xdr:row>
      <xdr:rowOff>952500</xdr:rowOff>
    </xdr:to>
    <xdr:pic>
      <xdr:nvPicPr>
        <xdr:cNvPr id="46" name="image45.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116830" y="53498115"/>
          <a:ext cx="781050" cy="928370"/>
        </a:xfrm>
        <a:prstGeom prst="rect">
          <a:avLst/>
        </a:prstGeom>
      </xdr:spPr>
    </xdr:pic>
    <xdr:clientData/>
  </xdr:twoCellAnchor>
  <xdr:twoCellAnchor>
    <xdr:from>
      <xdr:col>4</xdr:col>
      <xdr:colOff>306995</xdr:colOff>
      <xdr:row>55</xdr:row>
      <xdr:rowOff>30770</xdr:rowOff>
    </xdr:from>
    <xdr:to>
      <xdr:col>4</xdr:col>
      <xdr:colOff>851647</xdr:colOff>
      <xdr:row>55</xdr:row>
      <xdr:rowOff>973054</xdr:rowOff>
    </xdr:to>
    <xdr:pic>
      <xdr:nvPicPr>
        <xdr:cNvPr id="47" name="image46.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5175885" y="52486560"/>
          <a:ext cx="544830" cy="942340"/>
        </a:xfrm>
        <a:prstGeom prst="rect">
          <a:avLst/>
        </a:prstGeom>
      </xdr:spPr>
    </xdr:pic>
    <xdr:clientData/>
  </xdr:twoCellAnchor>
  <xdr:twoCellAnchor>
    <xdr:from>
      <xdr:col>4</xdr:col>
      <xdr:colOff>83310</xdr:colOff>
      <xdr:row>49</xdr:row>
      <xdr:rowOff>44118</xdr:rowOff>
    </xdr:from>
    <xdr:to>
      <xdr:col>4</xdr:col>
      <xdr:colOff>1163549</xdr:colOff>
      <xdr:row>49</xdr:row>
      <xdr:rowOff>962025</xdr:rowOff>
    </xdr:to>
    <xdr:pic>
      <xdr:nvPicPr>
        <xdr:cNvPr id="48" name="image47.jpe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952365" y="46773465"/>
          <a:ext cx="1080135" cy="918210"/>
        </a:xfrm>
        <a:prstGeom prst="rect">
          <a:avLst/>
        </a:prstGeom>
      </xdr:spPr>
    </xdr:pic>
    <xdr:clientData/>
  </xdr:twoCellAnchor>
  <xdr:twoCellAnchor>
    <xdr:from>
      <xdr:col>4</xdr:col>
      <xdr:colOff>59816</xdr:colOff>
      <xdr:row>50</xdr:row>
      <xdr:rowOff>129134</xdr:rowOff>
    </xdr:from>
    <xdr:to>
      <xdr:col>4</xdr:col>
      <xdr:colOff>1166528</xdr:colOff>
      <xdr:row>50</xdr:row>
      <xdr:rowOff>866775</xdr:rowOff>
    </xdr:to>
    <xdr:pic>
      <xdr:nvPicPr>
        <xdr:cNvPr id="49" name="image48.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928870" y="47876460"/>
          <a:ext cx="1106805" cy="737870"/>
        </a:xfrm>
        <a:prstGeom prst="rect">
          <a:avLst/>
        </a:prstGeom>
      </xdr:spPr>
    </xdr:pic>
    <xdr:clientData/>
  </xdr:twoCellAnchor>
  <xdr:twoCellAnchor>
    <xdr:from>
      <xdr:col>4</xdr:col>
      <xdr:colOff>146430</xdr:colOff>
      <xdr:row>52</xdr:row>
      <xdr:rowOff>61087</xdr:rowOff>
    </xdr:from>
    <xdr:to>
      <xdr:col>4</xdr:col>
      <xdr:colOff>971550</xdr:colOff>
      <xdr:row>52</xdr:row>
      <xdr:rowOff>964695</xdr:rowOff>
    </xdr:to>
    <xdr:pic>
      <xdr:nvPicPr>
        <xdr:cNvPr id="50" name="image49.jpe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015230" y="49844325"/>
          <a:ext cx="825500" cy="903605"/>
        </a:xfrm>
        <a:prstGeom prst="rect">
          <a:avLst/>
        </a:prstGeom>
      </xdr:spPr>
    </xdr:pic>
    <xdr:clientData/>
  </xdr:twoCellAnchor>
  <xdr:twoCellAnchor>
    <xdr:from>
      <xdr:col>4</xdr:col>
      <xdr:colOff>211200</xdr:colOff>
      <xdr:row>53</xdr:row>
      <xdr:rowOff>57011</xdr:rowOff>
    </xdr:from>
    <xdr:to>
      <xdr:col>4</xdr:col>
      <xdr:colOff>992632</xdr:colOff>
      <xdr:row>53</xdr:row>
      <xdr:rowOff>942975</xdr:rowOff>
    </xdr:to>
    <xdr:pic>
      <xdr:nvPicPr>
        <xdr:cNvPr id="51" name="image50.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080000" y="50857785"/>
          <a:ext cx="781685" cy="886460"/>
        </a:xfrm>
        <a:prstGeom prst="rect">
          <a:avLst/>
        </a:prstGeom>
      </xdr:spPr>
    </xdr:pic>
    <xdr:clientData/>
  </xdr:twoCellAnchor>
  <xdr:twoCellAnchor>
    <xdr:from>
      <xdr:col>4</xdr:col>
      <xdr:colOff>423006</xdr:colOff>
      <xdr:row>57</xdr:row>
      <xdr:rowOff>43127</xdr:rowOff>
    </xdr:from>
    <xdr:to>
      <xdr:col>4</xdr:col>
      <xdr:colOff>941294</xdr:colOff>
      <xdr:row>57</xdr:row>
      <xdr:rowOff>965109</xdr:rowOff>
    </xdr:to>
    <xdr:pic>
      <xdr:nvPicPr>
        <xdr:cNvPr id="52" name="image51.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292090" y="54534435"/>
          <a:ext cx="518160" cy="922020"/>
        </a:xfrm>
        <a:prstGeom prst="rect">
          <a:avLst/>
        </a:prstGeom>
      </xdr:spPr>
    </xdr:pic>
    <xdr:clientData/>
  </xdr:twoCellAnchor>
  <xdr:twoCellAnchor>
    <xdr:from>
      <xdr:col>4</xdr:col>
      <xdr:colOff>474501</xdr:colOff>
      <xdr:row>58</xdr:row>
      <xdr:rowOff>29468</xdr:rowOff>
    </xdr:from>
    <xdr:to>
      <xdr:col>4</xdr:col>
      <xdr:colOff>885264</xdr:colOff>
      <xdr:row>58</xdr:row>
      <xdr:rowOff>923394</xdr:rowOff>
    </xdr:to>
    <xdr:pic>
      <xdr:nvPicPr>
        <xdr:cNvPr id="53" name="image52.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343525" y="55539005"/>
          <a:ext cx="410845" cy="894080"/>
        </a:xfrm>
        <a:prstGeom prst="rect">
          <a:avLst/>
        </a:prstGeom>
      </xdr:spPr>
    </xdr:pic>
    <xdr:clientData/>
  </xdr:twoCellAnchor>
  <xdr:twoCellAnchor>
    <xdr:from>
      <xdr:col>4</xdr:col>
      <xdr:colOff>12326</xdr:colOff>
      <xdr:row>60</xdr:row>
      <xdr:rowOff>262695</xdr:rowOff>
    </xdr:from>
    <xdr:to>
      <xdr:col>4</xdr:col>
      <xdr:colOff>1142338</xdr:colOff>
      <xdr:row>60</xdr:row>
      <xdr:rowOff>784412</xdr:rowOff>
    </xdr:to>
    <xdr:pic>
      <xdr:nvPicPr>
        <xdr:cNvPr id="54" name="image53.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881245" y="57426860"/>
          <a:ext cx="1129665" cy="521970"/>
        </a:xfrm>
        <a:prstGeom prst="rect">
          <a:avLst/>
        </a:prstGeom>
      </xdr:spPr>
    </xdr:pic>
    <xdr:clientData/>
  </xdr:twoCellAnchor>
  <xdr:twoCellAnchor>
    <xdr:from>
      <xdr:col>4</xdr:col>
      <xdr:colOff>53264</xdr:colOff>
      <xdr:row>61</xdr:row>
      <xdr:rowOff>215970</xdr:rowOff>
    </xdr:from>
    <xdr:to>
      <xdr:col>4</xdr:col>
      <xdr:colOff>1201450</xdr:colOff>
      <xdr:row>61</xdr:row>
      <xdr:rowOff>818028</xdr:rowOff>
    </xdr:to>
    <xdr:pic>
      <xdr:nvPicPr>
        <xdr:cNvPr id="55" name="image54.jpe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921885" y="58398410"/>
          <a:ext cx="1148715" cy="601980"/>
        </a:xfrm>
        <a:prstGeom prst="rect">
          <a:avLst/>
        </a:prstGeom>
      </xdr:spPr>
    </xdr:pic>
    <xdr:clientData/>
  </xdr:twoCellAnchor>
  <xdr:twoCellAnchor>
    <xdr:from>
      <xdr:col>4</xdr:col>
      <xdr:colOff>23762</xdr:colOff>
      <xdr:row>62</xdr:row>
      <xdr:rowOff>241554</xdr:rowOff>
    </xdr:from>
    <xdr:to>
      <xdr:col>4</xdr:col>
      <xdr:colOff>1205178</xdr:colOff>
      <xdr:row>62</xdr:row>
      <xdr:rowOff>795618</xdr:rowOff>
    </xdr:to>
    <xdr:pic>
      <xdr:nvPicPr>
        <xdr:cNvPr id="56" name="image55.jpe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892675" y="59441715"/>
          <a:ext cx="1181100" cy="553720"/>
        </a:xfrm>
        <a:prstGeom prst="rect">
          <a:avLst/>
        </a:prstGeom>
      </xdr:spPr>
    </xdr:pic>
    <xdr:clientData/>
  </xdr:twoCellAnchor>
  <xdr:twoCellAnchor>
    <xdr:from>
      <xdr:col>4</xdr:col>
      <xdr:colOff>60653</xdr:colOff>
      <xdr:row>66</xdr:row>
      <xdr:rowOff>269455</xdr:rowOff>
    </xdr:from>
    <xdr:to>
      <xdr:col>4</xdr:col>
      <xdr:colOff>1198626</xdr:colOff>
      <xdr:row>66</xdr:row>
      <xdr:rowOff>806823</xdr:rowOff>
    </xdr:to>
    <xdr:pic>
      <xdr:nvPicPr>
        <xdr:cNvPr id="57" name="image56.jpe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929505" y="63160275"/>
          <a:ext cx="1137920" cy="537210"/>
        </a:xfrm>
        <a:prstGeom prst="rect">
          <a:avLst/>
        </a:prstGeom>
      </xdr:spPr>
    </xdr:pic>
    <xdr:clientData/>
  </xdr:twoCellAnchor>
  <xdr:twoCellAnchor>
    <xdr:from>
      <xdr:col>4</xdr:col>
      <xdr:colOff>76550</xdr:colOff>
      <xdr:row>67</xdr:row>
      <xdr:rowOff>194716</xdr:rowOff>
    </xdr:from>
    <xdr:to>
      <xdr:col>4</xdr:col>
      <xdr:colOff>1208472</xdr:colOff>
      <xdr:row>67</xdr:row>
      <xdr:rowOff>818030</xdr:rowOff>
    </xdr:to>
    <xdr:pic>
      <xdr:nvPicPr>
        <xdr:cNvPr id="58" name="image57.jpe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945380" y="64103250"/>
          <a:ext cx="1132205" cy="623570"/>
        </a:xfrm>
        <a:prstGeom prst="rect">
          <a:avLst/>
        </a:prstGeom>
      </xdr:spPr>
    </xdr:pic>
    <xdr:clientData/>
  </xdr:twoCellAnchor>
  <xdr:twoCellAnchor>
    <xdr:from>
      <xdr:col>4</xdr:col>
      <xdr:colOff>38421</xdr:colOff>
      <xdr:row>68</xdr:row>
      <xdr:rowOff>258728</xdr:rowOff>
    </xdr:from>
    <xdr:to>
      <xdr:col>4</xdr:col>
      <xdr:colOff>1188556</xdr:colOff>
      <xdr:row>68</xdr:row>
      <xdr:rowOff>907675</xdr:rowOff>
    </xdr:to>
    <xdr:pic>
      <xdr:nvPicPr>
        <xdr:cNvPr id="59" name="image58.jpe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907280" y="65185290"/>
          <a:ext cx="1149985" cy="648970"/>
        </a:xfrm>
        <a:prstGeom prst="rect">
          <a:avLst/>
        </a:prstGeom>
      </xdr:spPr>
    </xdr:pic>
    <xdr:clientData/>
  </xdr:twoCellAnchor>
  <xdr:twoCellAnchor>
    <xdr:from>
      <xdr:col>4</xdr:col>
      <xdr:colOff>127744</xdr:colOff>
      <xdr:row>69</xdr:row>
      <xdr:rowOff>205191</xdr:rowOff>
    </xdr:from>
    <xdr:to>
      <xdr:col>4</xdr:col>
      <xdr:colOff>1105885</xdr:colOff>
      <xdr:row>69</xdr:row>
      <xdr:rowOff>862853</xdr:rowOff>
    </xdr:to>
    <xdr:pic>
      <xdr:nvPicPr>
        <xdr:cNvPr id="60" name="image59.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996815" y="66149855"/>
          <a:ext cx="977900" cy="657225"/>
        </a:xfrm>
        <a:prstGeom prst="rect">
          <a:avLst/>
        </a:prstGeom>
      </xdr:spPr>
    </xdr:pic>
    <xdr:clientData/>
  </xdr:twoCellAnchor>
  <xdr:twoCellAnchor>
    <xdr:from>
      <xdr:col>4</xdr:col>
      <xdr:colOff>96416</xdr:colOff>
      <xdr:row>77</xdr:row>
      <xdr:rowOff>791970</xdr:rowOff>
    </xdr:from>
    <xdr:to>
      <xdr:col>4</xdr:col>
      <xdr:colOff>1229254</xdr:colOff>
      <xdr:row>78</xdr:row>
      <xdr:rowOff>242901</xdr:rowOff>
    </xdr:to>
    <xdr:pic>
      <xdr:nvPicPr>
        <xdr:cNvPr id="61" name="image60.jpe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965065" y="74498835"/>
          <a:ext cx="1132840" cy="468630"/>
        </a:xfrm>
        <a:prstGeom prst="rect">
          <a:avLst/>
        </a:prstGeom>
      </xdr:spPr>
    </xdr:pic>
    <xdr:clientData/>
  </xdr:twoCellAnchor>
  <xdr:twoCellAnchor>
    <xdr:from>
      <xdr:col>4</xdr:col>
      <xdr:colOff>270570</xdr:colOff>
      <xdr:row>79</xdr:row>
      <xdr:rowOff>658799</xdr:rowOff>
    </xdr:from>
    <xdr:to>
      <xdr:col>4</xdr:col>
      <xdr:colOff>972486</xdr:colOff>
      <xdr:row>80</xdr:row>
      <xdr:rowOff>168689</xdr:rowOff>
    </xdr:to>
    <xdr:pic>
      <xdr:nvPicPr>
        <xdr:cNvPr id="62" name="image61.jpe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139690" y="76401295"/>
          <a:ext cx="701675" cy="527685"/>
        </a:xfrm>
        <a:prstGeom prst="rect">
          <a:avLst/>
        </a:prstGeom>
      </xdr:spPr>
    </xdr:pic>
    <xdr:clientData/>
  </xdr:twoCellAnchor>
  <xdr:twoCellAnchor>
    <xdr:from>
      <xdr:col>4</xdr:col>
      <xdr:colOff>144188</xdr:colOff>
      <xdr:row>81</xdr:row>
      <xdr:rowOff>675625</xdr:rowOff>
    </xdr:from>
    <xdr:to>
      <xdr:col>4</xdr:col>
      <xdr:colOff>1164384</xdr:colOff>
      <xdr:row>82</xdr:row>
      <xdr:rowOff>324971</xdr:rowOff>
    </xdr:to>
    <xdr:pic>
      <xdr:nvPicPr>
        <xdr:cNvPr id="63" name="image62.jpe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013325" y="78453615"/>
          <a:ext cx="1019810" cy="667385"/>
        </a:xfrm>
        <a:prstGeom prst="rect">
          <a:avLst/>
        </a:prstGeom>
      </xdr:spPr>
    </xdr:pic>
    <xdr:clientData/>
  </xdr:twoCellAnchor>
  <xdr:twoCellAnchor>
    <xdr:from>
      <xdr:col>4</xdr:col>
      <xdr:colOff>91978</xdr:colOff>
      <xdr:row>71</xdr:row>
      <xdr:rowOff>830617</xdr:rowOff>
    </xdr:from>
    <xdr:to>
      <xdr:col>4</xdr:col>
      <xdr:colOff>1110505</xdr:colOff>
      <xdr:row>72</xdr:row>
      <xdr:rowOff>105120</xdr:rowOff>
    </xdr:to>
    <xdr:pic>
      <xdr:nvPicPr>
        <xdr:cNvPr id="64" name="image63.jpe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4960620" y="68430140"/>
          <a:ext cx="1018540" cy="292100"/>
        </a:xfrm>
        <a:prstGeom prst="rect">
          <a:avLst/>
        </a:prstGeom>
      </xdr:spPr>
    </xdr:pic>
    <xdr:clientData/>
  </xdr:twoCellAnchor>
  <xdr:twoCellAnchor>
    <xdr:from>
      <xdr:col>4</xdr:col>
      <xdr:colOff>95884</xdr:colOff>
      <xdr:row>73</xdr:row>
      <xdr:rowOff>664695</xdr:rowOff>
    </xdr:from>
    <xdr:to>
      <xdr:col>4</xdr:col>
      <xdr:colOff>1171144</xdr:colOff>
      <xdr:row>73</xdr:row>
      <xdr:rowOff>991183</xdr:rowOff>
    </xdr:to>
    <xdr:pic>
      <xdr:nvPicPr>
        <xdr:cNvPr id="65" name="image64.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4964430" y="70299580"/>
          <a:ext cx="1075690" cy="326390"/>
        </a:xfrm>
        <a:prstGeom prst="rect">
          <a:avLst/>
        </a:prstGeom>
      </xdr:spPr>
    </xdr:pic>
    <xdr:clientData/>
  </xdr:twoCellAnchor>
  <xdr:twoCellAnchor>
    <xdr:from>
      <xdr:col>4</xdr:col>
      <xdr:colOff>15829</xdr:colOff>
      <xdr:row>65</xdr:row>
      <xdr:rowOff>235838</xdr:rowOff>
    </xdr:from>
    <xdr:to>
      <xdr:col>4</xdr:col>
      <xdr:colOff>1224992</xdr:colOff>
      <xdr:row>65</xdr:row>
      <xdr:rowOff>806823</xdr:rowOff>
    </xdr:to>
    <xdr:pic>
      <xdr:nvPicPr>
        <xdr:cNvPr id="66" name="image56.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884420" y="62108715"/>
          <a:ext cx="1209675" cy="570865"/>
        </a:xfrm>
        <a:prstGeom prst="rect">
          <a:avLst/>
        </a:prstGeom>
      </xdr:spPr>
    </xdr:pic>
    <xdr:clientData/>
  </xdr:twoCellAnchor>
  <xdr:twoCellAnchor>
    <xdr:from>
      <xdr:col>4</xdr:col>
      <xdr:colOff>60654</xdr:colOff>
      <xdr:row>64</xdr:row>
      <xdr:rowOff>314532</xdr:rowOff>
    </xdr:from>
    <xdr:to>
      <xdr:col>4</xdr:col>
      <xdr:colOff>1198091</xdr:colOff>
      <xdr:row>64</xdr:row>
      <xdr:rowOff>851647</xdr:rowOff>
    </xdr:to>
    <xdr:pic>
      <xdr:nvPicPr>
        <xdr:cNvPr id="67" name="image56.jpe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929505" y="61169550"/>
          <a:ext cx="1137285" cy="537210"/>
        </a:xfrm>
        <a:prstGeom prst="rect">
          <a:avLst/>
        </a:prstGeom>
      </xdr:spPr>
    </xdr:pic>
    <xdr:clientData/>
  </xdr:twoCellAnchor>
  <xdr:twoCellAnchor>
    <xdr:from>
      <xdr:col>4</xdr:col>
      <xdr:colOff>61222</xdr:colOff>
      <xdr:row>83</xdr:row>
      <xdr:rowOff>648801</xdr:rowOff>
    </xdr:from>
    <xdr:to>
      <xdr:col>4</xdr:col>
      <xdr:colOff>1085230</xdr:colOff>
      <xdr:row>84</xdr:row>
      <xdr:rowOff>358588</xdr:rowOff>
    </xdr:to>
    <xdr:pic>
      <xdr:nvPicPr>
        <xdr:cNvPr id="68" name="image66.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4930140" y="80462755"/>
          <a:ext cx="1024255" cy="727710"/>
        </a:xfrm>
        <a:prstGeom prst="rect">
          <a:avLst/>
        </a:prstGeom>
      </xdr:spPr>
    </xdr:pic>
    <xdr:clientData/>
  </xdr:twoCellAnchor>
  <xdr:twoCellAnchor>
    <xdr:from>
      <xdr:col>4</xdr:col>
      <xdr:colOff>40609</xdr:colOff>
      <xdr:row>85</xdr:row>
      <xdr:rowOff>731360</xdr:rowOff>
    </xdr:from>
    <xdr:to>
      <xdr:col>4</xdr:col>
      <xdr:colOff>1160936</xdr:colOff>
      <xdr:row>86</xdr:row>
      <xdr:rowOff>526677</xdr:rowOff>
    </xdr:to>
    <xdr:pic>
      <xdr:nvPicPr>
        <xdr:cNvPr id="69" name="image67.jpe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909185" y="82581115"/>
          <a:ext cx="1120775" cy="813435"/>
        </a:xfrm>
        <a:prstGeom prst="rect">
          <a:avLst/>
        </a:prstGeom>
      </xdr:spPr>
    </xdr:pic>
    <xdr:clientData/>
  </xdr:twoCellAnchor>
  <xdr:twoCellAnchor>
    <xdr:from>
      <xdr:col>4</xdr:col>
      <xdr:colOff>378496</xdr:colOff>
      <xdr:row>91</xdr:row>
      <xdr:rowOff>39598</xdr:rowOff>
    </xdr:from>
    <xdr:to>
      <xdr:col>4</xdr:col>
      <xdr:colOff>974912</xdr:colOff>
      <xdr:row>91</xdr:row>
      <xdr:rowOff>990624</xdr:rowOff>
    </xdr:to>
    <xdr:pic>
      <xdr:nvPicPr>
        <xdr:cNvPr id="70" name="image68.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247640" y="87235030"/>
          <a:ext cx="596265" cy="951230"/>
        </a:xfrm>
        <a:prstGeom prst="rect">
          <a:avLst/>
        </a:prstGeom>
      </xdr:spPr>
    </xdr:pic>
    <xdr:clientData/>
  </xdr:twoCellAnchor>
  <xdr:twoCellAnchor>
    <xdr:from>
      <xdr:col>4</xdr:col>
      <xdr:colOff>419719</xdr:colOff>
      <xdr:row>92</xdr:row>
      <xdr:rowOff>55431</xdr:rowOff>
    </xdr:from>
    <xdr:to>
      <xdr:col>4</xdr:col>
      <xdr:colOff>1008529</xdr:colOff>
      <xdr:row>92</xdr:row>
      <xdr:rowOff>983934</xdr:rowOff>
    </xdr:to>
    <xdr:pic>
      <xdr:nvPicPr>
        <xdr:cNvPr id="71" name="image69.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288280" y="88268810"/>
          <a:ext cx="589280" cy="928370"/>
        </a:xfrm>
        <a:prstGeom prst="rect">
          <a:avLst/>
        </a:prstGeom>
      </xdr:spPr>
    </xdr:pic>
    <xdr:clientData/>
  </xdr:twoCellAnchor>
  <xdr:twoCellAnchor>
    <xdr:from>
      <xdr:col>4</xdr:col>
      <xdr:colOff>439553</xdr:colOff>
      <xdr:row>93</xdr:row>
      <xdr:rowOff>57334</xdr:rowOff>
    </xdr:from>
    <xdr:to>
      <xdr:col>4</xdr:col>
      <xdr:colOff>1008529</xdr:colOff>
      <xdr:row>93</xdr:row>
      <xdr:rowOff>961161</xdr:rowOff>
    </xdr:to>
    <xdr:pic>
      <xdr:nvPicPr>
        <xdr:cNvPr id="72" name="image70.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5308600" y="89288620"/>
          <a:ext cx="568960" cy="903605"/>
        </a:xfrm>
        <a:prstGeom prst="rect">
          <a:avLst/>
        </a:prstGeom>
      </xdr:spPr>
    </xdr:pic>
    <xdr:clientData/>
  </xdr:twoCellAnchor>
  <xdr:twoCellAnchor>
    <xdr:from>
      <xdr:col>4</xdr:col>
      <xdr:colOff>431344</xdr:colOff>
      <xdr:row>94</xdr:row>
      <xdr:rowOff>35237</xdr:rowOff>
    </xdr:from>
    <xdr:to>
      <xdr:col>4</xdr:col>
      <xdr:colOff>997323</xdr:colOff>
      <xdr:row>94</xdr:row>
      <xdr:rowOff>973826</xdr:rowOff>
    </xdr:to>
    <xdr:pic>
      <xdr:nvPicPr>
        <xdr:cNvPr id="73" name="image71.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5300345" y="90284300"/>
          <a:ext cx="565785" cy="938530"/>
        </a:xfrm>
        <a:prstGeom prst="rect">
          <a:avLst/>
        </a:prstGeom>
      </xdr:spPr>
    </xdr:pic>
    <xdr:clientData/>
  </xdr:twoCellAnchor>
  <xdr:twoCellAnchor>
    <xdr:from>
      <xdr:col>4</xdr:col>
      <xdr:colOff>456025</xdr:colOff>
      <xdr:row>95</xdr:row>
      <xdr:rowOff>105721</xdr:rowOff>
    </xdr:from>
    <xdr:to>
      <xdr:col>4</xdr:col>
      <xdr:colOff>974070</xdr:colOff>
      <xdr:row>95</xdr:row>
      <xdr:rowOff>952500</xdr:rowOff>
    </xdr:to>
    <xdr:pic>
      <xdr:nvPicPr>
        <xdr:cNvPr id="74" name="image72.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5325110" y="91372690"/>
          <a:ext cx="517525" cy="847090"/>
        </a:xfrm>
        <a:prstGeom prst="rect">
          <a:avLst/>
        </a:prstGeom>
      </xdr:spPr>
    </xdr:pic>
    <xdr:clientData/>
  </xdr:twoCellAnchor>
  <xdr:twoCellAnchor>
    <xdr:from>
      <xdr:col>4</xdr:col>
      <xdr:colOff>490685</xdr:colOff>
      <xdr:row>96</xdr:row>
      <xdr:rowOff>61666</xdr:rowOff>
    </xdr:from>
    <xdr:to>
      <xdr:col>4</xdr:col>
      <xdr:colOff>999751</xdr:colOff>
      <xdr:row>96</xdr:row>
      <xdr:rowOff>941293</xdr:rowOff>
    </xdr:to>
    <xdr:pic>
      <xdr:nvPicPr>
        <xdr:cNvPr id="75" name="image73.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5359400" y="92346780"/>
          <a:ext cx="509270" cy="879475"/>
        </a:xfrm>
        <a:prstGeom prst="rect">
          <a:avLst/>
        </a:prstGeom>
      </xdr:spPr>
    </xdr:pic>
    <xdr:clientData/>
  </xdr:twoCellAnchor>
  <xdr:twoCellAnchor>
    <xdr:from>
      <xdr:col>4</xdr:col>
      <xdr:colOff>476797</xdr:colOff>
      <xdr:row>97</xdr:row>
      <xdr:rowOff>79266</xdr:rowOff>
    </xdr:from>
    <xdr:to>
      <xdr:col>4</xdr:col>
      <xdr:colOff>1030941</xdr:colOff>
      <xdr:row>97</xdr:row>
      <xdr:rowOff>991582</xdr:rowOff>
    </xdr:to>
    <xdr:pic>
      <xdr:nvPicPr>
        <xdr:cNvPr id="76" name="image74.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5345430" y="93381830"/>
          <a:ext cx="554355" cy="912495"/>
        </a:xfrm>
        <a:prstGeom prst="rect">
          <a:avLst/>
        </a:prstGeom>
      </xdr:spPr>
    </xdr:pic>
    <xdr:clientData/>
  </xdr:twoCellAnchor>
  <xdr:twoCellAnchor>
    <xdr:from>
      <xdr:col>4</xdr:col>
      <xdr:colOff>451357</xdr:colOff>
      <xdr:row>98</xdr:row>
      <xdr:rowOff>38438</xdr:rowOff>
    </xdr:from>
    <xdr:to>
      <xdr:col>4</xdr:col>
      <xdr:colOff>986116</xdr:colOff>
      <xdr:row>98</xdr:row>
      <xdr:rowOff>916417</xdr:rowOff>
    </xdr:to>
    <xdr:pic>
      <xdr:nvPicPr>
        <xdr:cNvPr id="77" name="image75.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5320030" y="94359095"/>
          <a:ext cx="534670" cy="878205"/>
        </a:xfrm>
        <a:prstGeom prst="rect">
          <a:avLst/>
        </a:prstGeom>
      </xdr:spPr>
    </xdr:pic>
    <xdr:clientData/>
  </xdr:twoCellAnchor>
  <xdr:twoCellAnchor>
    <xdr:from>
      <xdr:col>4</xdr:col>
      <xdr:colOff>364239</xdr:colOff>
      <xdr:row>99</xdr:row>
      <xdr:rowOff>79124</xdr:rowOff>
    </xdr:from>
    <xdr:to>
      <xdr:col>4</xdr:col>
      <xdr:colOff>944889</xdr:colOff>
      <xdr:row>99</xdr:row>
      <xdr:rowOff>930088</xdr:rowOff>
    </xdr:to>
    <xdr:pic>
      <xdr:nvPicPr>
        <xdr:cNvPr id="78" name="image76.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233035" y="95417640"/>
          <a:ext cx="581025" cy="850900"/>
        </a:xfrm>
        <a:prstGeom prst="rect">
          <a:avLst/>
        </a:prstGeom>
      </xdr:spPr>
    </xdr:pic>
    <xdr:clientData/>
  </xdr:twoCellAnchor>
  <xdr:twoCellAnchor>
    <xdr:from>
      <xdr:col>4</xdr:col>
      <xdr:colOff>152139</xdr:colOff>
      <xdr:row>88</xdr:row>
      <xdr:rowOff>213354</xdr:rowOff>
    </xdr:from>
    <xdr:to>
      <xdr:col>4</xdr:col>
      <xdr:colOff>1138985</xdr:colOff>
      <xdr:row>88</xdr:row>
      <xdr:rowOff>739587</xdr:rowOff>
    </xdr:to>
    <xdr:pic>
      <xdr:nvPicPr>
        <xdr:cNvPr id="79" name="image77.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020945" y="84735670"/>
          <a:ext cx="986790" cy="526415"/>
        </a:xfrm>
        <a:prstGeom prst="rect">
          <a:avLst/>
        </a:prstGeom>
      </xdr:spPr>
    </xdr:pic>
    <xdr:clientData/>
  </xdr:twoCellAnchor>
  <xdr:twoCellAnchor>
    <xdr:from>
      <xdr:col>4</xdr:col>
      <xdr:colOff>88960</xdr:colOff>
      <xdr:row>89</xdr:row>
      <xdr:rowOff>310177</xdr:rowOff>
    </xdr:from>
    <xdr:to>
      <xdr:col>4</xdr:col>
      <xdr:colOff>1153385</xdr:colOff>
      <xdr:row>89</xdr:row>
      <xdr:rowOff>695317</xdr:rowOff>
    </xdr:to>
    <xdr:pic>
      <xdr:nvPicPr>
        <xdr:cNvPr id="80" name="image78.jpe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4958080" y="85850730"/>
          <a:ext cx="1064260" cy="384810"/>
        </a:xfrm>
        <a:prstGeom prst="rect">
          <a:avLst/>
        </a:prstGeom>
      </xdr:spPr>
    </xdr:pic>
    <xdr:clientData/>
  </xdr:twoCellAnchor>
  <xdr:twoCellAnchor>
    <xdr:from>
      <xdr:col>4</xdr:col>
      <xdr:colOff>437563</xdr:colOff>
      <xdr:row>100</xdr:row>
      <xdr:rowOff>82568</xdr:rowOff>
    </xdr:from>
    <xdr:to>
      <xdr:col>4</xdr:col>
      <xdr:colOff>965127</xdr:colOff>
      <xdr:row>100</xdr:row>
      <xdr:rowOff>941293</xdr:rowOff>
    </xdr:to>
    <xdr:pic>
      <xdr:nvPicPr>
        <xdr:cNvPr id="81" name="image79.jpe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306695" y="96439355"/>
          <a:ext cx="527050" cy="858520"/>
        </a:xfrm>
        <a:prstGeom prst="rect">
          <a:avLst/>
        </a:prstGeom>
      </xdr:spPr>
    </xdr:pic>
    <xdr:clientData/>
  </xdr:twoCellAnchor>
  <xdr:twoCellAnchor>
    <xdr:from>
      <xdr:col>4</xdr:col>
      <xdr:colOff>351377</xdr:colOff>
      <xdr:row>101</xdr:row>
      <xdr:rowOff>34176</xdr:rowOff>
    </xdr:from>
    <xdr:to>
      <xdr:col>4</xdr:col>
      <xdr:colOff>857250</xdr:colOff>
      <xdr:row>101</xdr:row>
      <xdr:rowOff>956179</xdr:rowOff>
    </xdr:to>
    <xdr:pic>
      <xdr:nvPicPr>
        <xdr:cNvPr id="82" name="image80.jpe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220335" y="97408365"/>
          <a:ext cx="506095" cy="922020"/>
        </a:xfrm>
        <a:prstGeom prst="rect">
          <a:avLst/>
        </a:prstGeom>
      </xdr:spPr>
    </xdr:pic>
    <xdr:clientData/>
  </xdr:twoCellAnchor>
  <xdr:twoCellAnchor>
    <xdr:from>
      <xdr:col>4</xdr:col>
      <xdr:colOff>397901</xdr:colOff>
      <xdr:row>102</xdr:row>
      <xdr:rowOff>140801</xdr:rowOff>
    </xdr:from>
    <xdr:to>
      <xdr:col>4</xdr:col>
      <xdr:colOff>920447</xdr:colOff>
      <xdr:row>102</xdr:row>
      <xdr:rowOff>941294</xdr:rowOff>
    </xdr:to>
    <xdr:pic>
      <xdr:nvPicPr>
        <xdr:cNvPr id="83" name="image81.jpe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266690" y="98532950"/>
          <a:ext cx="522605" cy="800735"/>
        </a:xfrm>
        <a:prstGeom prst="rect">
          <a:avLst/>
        </a:prstGeom>
      </xdr:spPr>
    </xdr:pic>
    <xdr:clientData/>
  </xdr:twoCellAnchor>
  <xdr:twoCellAnchor>
    <xdr:from>
      <xdr:col>4</xdr:col>
      <xdr:colOff>386710</xdr:colOff>
      <xdr:row>103</xdr:row>
      <xdr:rowOff>49262</xdr:rowOff>
    </xdr:from>
    <xdr:to>
      <xdr:col>4</xdr:col>
      <xdr:colOff>930087</xdr:colOff>
      <xdr:row>103</xdr:row>
      <xdr:rowOff>915372</xdr:rowOff>
    </xdr:to>
    <xdr:pic>
      <xdr:nvPicPr>
        <xdr:cNvPr id="84" name="image82.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255260" y="99459415"/>
          <a:ext cx="543560" cy="866140"/>
        </a:xfrm>
        <a:prstGeom prst="rect">
          <a:avLst/>
        </a:prstGeom>
      </xdr:spPr>
    </xdr:pic>
    <xdr:clientData/>
  </xdr:twoCellAnchor>
  <xdr:twoCellAnchor>
    <xdr:from>
      <xdr:col>4</xdr:col>
      <xdr:colOff>394994</xdr:colOff>
      <xdr:row>104</xdr:row>
      <xdr:rowOff>63267</xdr:rowOff>
    </xdr:from>
    <xdr:to>
      <xdr:col>4</xdr:col>
      <xdr:colOff>963706</xdr:colOff>
      <xdr:row>104</xdr:row>
      <xdr:rowOff>942413</xdr:rowOff>
    </xdr:to>
    <xdr:pic>
      <xdr:nvPicPr>
        <xdr:cNvPr id="85" name="image83.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264150" y="100491290"/>
          <a:ext cx="568325" cy="879475"/>
        </a:xfrm>
        <a:prstGeom prst="rect">
          <a:avLst/>
        </a:prstGeom>
      </xdr:spPr>
    </xdr:pic>
    <xdr:clientData/>
  </xdr:twoCellAnchor>
  <xdr:twoCellAnchor>
    <xdr:from>
      <xdr:col>4</xdr:col>
      <xdr:colOff>376429</xdr:colOff>
      <xdr:row>105</xdr:row>
      <xdr:rowOff>39104</xdr:rowOff>
    </xdr:from>
    <xdr:to>
      <xdr:col>4</xdr:col>
      <xdr:colOff>974912</xdr:colOff>
      <xdr:row>105</xdr:row>
      <xdr:rowOff>946989</xdr:rowOff>
    </xdr:to>
    <xdr:pic>
      <xdr:nvPicPr>
        <xdr:cNvPr id="86" name="image84.jpe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245100" y="101485065"/>
          <a:ext cx="598805" cy="908050"/>
        </a:xfrm>
        <a:prstGeom prst="rect">
          <a:avLst/>
        </a:prstGeom>
      </xdr:spPr>
    </xdr:pic>
    <xdr:clientData/>
  </xdr:twoCellAnchor>
  <xdr:twoCellAnchor>
    <xdr:from>
      <xdr:col>4</xdr:col>
      <xdr:colOff>319260</xdr:colOff>
      <xdr:row>106</xdr:row>
      <xdr:rowOff>48869</xdr:rowOff>
    </xdr:from>
    <xdr:to>
      <xdr:col>4</xdr:col>
      <xdr:colOff>963146</xdr:colOff>
      <xdr:row>106</xdr:row>
      <xdr:rowOff>952500</xdr:rowOff>
    </xdr:to>
    <xdr:pic>
      <xdr:nvPicPr>
        <xdr:cNvPr id="87" name="image85.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187950" y="102512495"/>
          <a:ext cx="643890" cy="904240"/>
        </a:xfrm>
        <a:prstGeom prst="rect">
          <a:avLst/>
        </a:prstGeom>
      </xdr:spPr>
    </xdr:pic>
    <xdr:clientData/>
  </xdr:twoCellAnchor>
  <xdr:twoCellAnchor>
    <xdr:from>
      <xdr:col>4</xdr:col>
      <xdr:colOff>420164</xdr:colOff>
      <xdr:row>107</xdr:row>
      <xdr:rowOff>54900</xdr:rowOff>
    </xdr:from>
    <xdr:to>
      <xdr:col>4</xdr:col>
      <xdr:colOff>974911</xdr:colOff>
      <xdr:row>107</xdr:row>
      <xdr:rowOff>973276</xdr:rowOff>
    </xdr:to>
    <xdr:pic>
      <xdr:nvPicPr>
        <xdr:cNvPr id="88" name="image86.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288915" y="103536750"/>
          <a:ext cx="554990" cy="918210"/>
        </a:xfrm>
        <a:prstGeom prst="rect">
          <a:avLst/>
        </a:prstGeom>
      </xdr:spPr>
    </xdr:pic>
    <xdr:clientData/>
  </xdr:twoCellAnchor>
  <xdr:twoCellAnchor>
    <xdr:from>
      <xdr:col>4</xdr:col>
      <xdr:colOff>372916</xdr:colOff>
      <xdr:row>108</xdr:row>
      <xdr:rowOff>82022</xdr:rowOff>
    </xdr:from>
    <xdr:to>
      <xdr:col>4</xdr:col>
      <xdr:colOff>975323</xdr:colOff>
      <xdr:row>108</xdr:row>
      <xdr:rowOff>952501</xdr:rowOff>
    </xdr:to>
    <xdr:pic>
      <xdr:nvPicPr>
        <xdr:cNvPr id="89" name="image87.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241925" y="104581960"/>
          <a:ext cx="601980" cy="870585"/>
        </a:xfrm>
        <a:prstGeom prst="rect">
          <a:avLst/>
        </a:prstGeom>
      </xdr:spPr>
    </xdr:pic>
    <xdr:clientData/>
  </xdr:twoCellAnchor>
  <xdr:twoCellAnchor>
    <xdr:from>
      <xdr:col>4</xdr:col>
      <xdr:colOff>321937</xdr:colOff>
      <xdr:row>109</xdr:row>
      <xdr:rowOff>51080</xdr:rowOff>
    </xdr:from>
    <xdr:to>
      <xdr:col>4</xdr:col>
      <xdr:colOff>986116</xdr:colOff>
      <xdr:row>109</xdr:row>
      <xdr:rowOff>959049</xdr:rowOff>
    </xdr:to>
    <xdr:pic>
      <xdr:nvPicPr>
        <xdr:cNvPr id="90" name="image88.jpe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190490" y="105568750"/>
          <a:ext cx="664210" cy="908050"/>
        </a:xfrm>
        <a:prstGeom prst="rect">
          <a:avLst/>
        </a:prstGeom>
      </xdr:spPr>
    </xdr:pic>
    <xdr:clientData/>
  </xdr:twoCellAnchor>
  <xdr:twoCellAnchor>
    <xdr:from>
      <xdr:col>4</xdr:col>
      <xdr:colOff>363351</xdr:colOff>
      <xdr:row>110</xdr:row>
      <xdr:rowOff>28971</xdr:rowOff>
    </xdr:from>
    <xdr:to>
      <xdr:col>4</xdr:col>
      <xdr:colOff>1008529</xdr:colOff>
      <xdr:row>110</xdr:row>
      <xdr:rowOff>978585</xdr:rowOff>
    </xdr:to>
    <xdr:pic>
      <xdr:nvPicPr>
        <xdr:cNvPr id="91" name="image89.jpe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232400" y="106564430"/>
          <a:ext cx="645160" cy="949960"/>
        </a:xfrm>
        <a:prstGeom prst="rect">
          <a:avLst/>
        </a:prstGeom>
      </xdr:spPr>
    </xdr:pic>
    <xdr:clientData/>
  </xdr:twoCellAnchor>
  <xdr:twoCellAnchor>
    <xdr:from>
      <xdr:col>4</xdr:col>
      <xdr:colOff>395111</xdr:colOff>
      <xdr:row>112</xdr:row>
      <xdr:rowOff>42236</xdr:rowOff>
    </xdr:from>
    <xdr:to>
      <xdr:col>4</xdr:col>
      <xdr:colOff>941580</xdr:colOff>
      <xdr:row>112</xdr:row>
      <xdr:rowOff>952499</xdr:rowOff>
    </xdr:to>
    <xdr:pic>
      <xdr:nvPicPr>
        <xdr:cNvPr id="92" name="image90.jpe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264150" y="108232575"/>
          <a:ext cx="546100" cy="909955"/>
        </a:xfrm>
        <a:prstGeom prst="rect">
          <a:avLst/>
        </a:prstGeom>
      </xdr:spPr>
    </xdr:pic>
    <xdr:clientData/>
  </xdr:twoCellAnchor>
  <xdr:twoCellAnchor>
    <xdr:from>
      <xdr:col>4</xdr:col>
      <xdr:colOff>406347</xdr:colOff>
      <xdr:row>113</xdr:row>
      <xdr:rowOff>49846</xdr:rowOff>
    </xdr:from>
    <xdr:to>
      <xdr:col>4</xdr:col>
      <xdr:colOff>1046424</xdr:colOff>
      <xdr:row>113</xdr:row>
      <xdr:rowOff>930087</xdr:rowOff>
    </xdr:to>
    <xdr:pic>
      <xdr:nvPicPr>
        <xdr:cNvPr id="93" name="image91.jpe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274945" y="109383195"/>
          <a:ext cx="640080" cy="880110"/>
        </a:xfrm>
        <a:prstGeom prst="rect">
          <a:avLst/>
        </a:prstGeom>
      </xdr:spPr>
    </xdr:pic>
    <xdr:clientData/>
  </xdr:twoCellAnchor>
  <xdr:twoCellAnchor>
    <xdr:from>
      <xdr:col>4</xdr:col>
      <xdr:colOff>372184</xdr:colOff>
      <xdr:row>114</xdr:row>
      <xdr:rowOff>27682</xdr:rowOff>
    </xdr:from>
    <xdr:to>
      <xdr:col>4</xdr:col>
      <xdr:colOff>992479</xdr:colOff>
      <xdr:row>114</xdr:row>
      <xdr:rowOff>930088</xdr:rowOff>
    </xdr:to>
    <xdr:pic>
      <xdr:nvPicPr>
        <xdr:cNvPr id="94" name="image92.pn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241290" y="110503970"/>
          <a:ext cx="619760" cy="902335"/>
        </a:xfrm>
        <a:prstGeom prst="rect">
          <a:avLst/>
        </a:prstGeom>
      </xdr:spPr>
    </xdr:pic>
    <xdr:clientData/>
  </xdr:twoCellAnchor>
  <xdr:twoCellAnchor>
    <xdr:from>
      <xdr:col>4</xdr:col>
      <xdr:colOff>335048</xdr:colOff>
      <xdr:row>118</xdr:row>
      <xdr:rowOff>87783</xdr:rowOff>
    </xdr:from>
    <xdr:to>
      <xdr:col>4</xdr:col>
      <xdr:colOff>945598</xdr:colOff>
      <xdr:row>118</xdr:row>
      <xdr:rowOff>952500</xdr:rowOff>
    </xdr:to>
    <xdr:pic>
      <xdr:nvPicPr>
        <xdr:cNvPr id="95" name="image93.jpe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203825" y="115136295"/>
          <a:ext cx="610870" cy="864870"/>
        </a:xfrm>
        <a:prstGeom prst="rect">
          <a:avLst/>
        </a:prstGeom>
      </xdr:spPr>
    </xdr:pic>
    <xdr:clientData/>
  </xdr:twoCellAnchor>
  <xdr:twoCellAnchor>
    <xdr:from>
      <xdr:col>4</xdr:col>
      <xdr:colOff>329123</xdr:colOff>
      <xdr:row>119</xdr:row>
      <xdr:rowOff>57970</xdr:rowOff>
    </xdr:from>
    <xdr:to>
      <xdr:col>4</xdr:col>
      <xdr:colOff>980411</xdr:colOff>
      <xdr:row>119</xdr:row>
      <xdr:rowOff>952500</xdr:rowOff>
    </xdr:to>
    <xdr:pic>
      <xdr:nvPicPr>
        <xdr:cNvPr id="96" name="image94.jpe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198110" y="116249450"/>
          <a:ext cx="650875" cy="894715"/>
        </a:xfrm>
        <a:prstGeom prst="rect">
          <a:avLst/>
        </a:prstGeom>
      </xdr:spPr>
    </xdr:pic>
    <xdr:clientData/>
  </xdr:twoCellAnchor>
  <xdr:twoCellAnchor>
    <xdr:from>
      <xdr:col>4</xdr:col>
      <xdr:colOff>323151</xdr:colOff>
      <xdr:row>120</xdr:row>
      <xdr:rowOff>28547</xdr:rowOff>
    </xdr:from>
    <xdr:to>
      <xdr:col>4</xdr:col>
      <xdr:colOff>953771</xdr:colOff>
      <xdr:row>120</xdr:row>
      <xdr:rowOff>907676</xdr:rowOff>
    </xdr:to>
    <xdr:pic>
      <xdr:nvPicPr>
        <xdr:cNvPr id="97" name="image95.jpe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191760" y="117362605"/>
          <a:ext cx="631190" cy="879475"/>
        </a:xfrm>
        <a:prstGeom prst="rect">
          <a:avLst/>
        </a:prstGeom>
      </xdr:spPr>
    </xdr:pic>
    <xdr:clientData/>
  </xdr:twoCellAnchor>
  <xdr:twoCellAnchor>
    <xdr:from>
      <xdr:col>4</xdr:col>
      <xdr:colOff>305397</xdr:colOff>
      <xdr:row>121</xdr:row>
      <xdr:rowOff>38727</xdr:rowOff>
    </xdr:from>
    <xdr:to>
      <xdr:col>4</xdr:col>
      <xdr:colOff>945444</xdr:colOff>
      <xdr:row>121</xdr:row>
      <xdr:rowOff>974910</xdr:rowOff>
    </xdr:to>
    <xdr:pic>
      <xdr:nvPicPr>
        <xdr:cNvPr id="98" name="image96.jpe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173980" y="118515765"/>
          <a:ext cx="640080" cy="936625"/>
        </a:xfrm>
        <a:prstGeom prst="rect">
          <a:avLst/>
        </a:prstGeom>
      </xdr:spPr>
    </xdr:pic>
    <xdr:clientData/>
  </xdr:twoCellAnchor>
  <xdr:twoCellAnchor>
    <xdr:from>
      <xdr:col>4</xdr:col>
      <xdr:colOff>356956</xdr:colOff>
      <xdr:row>122</xdr:row>
      <xdr:rowOff>20425</xdr:rowOff>
    </xdr:from>
    <xdr:to>
      <xdr:col>4</xdr:col>
      <xdr:colOff>975349</xdr:colOff>
      <xdr:row>122</xdr:row>
      <xdr:rowOff>918882</xdr:rowOff>
    </xdr:to>
    <xdr:pic>
      <xdr:nvPicPr>
        <xdr:cNvPr id="99" name="image97.jpe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226050" y="119640985"/>
          <a:ext cx="617855" cy="898525"/>
        </a:xfrm>
        <a:prstGeom prst="rect">
          <a:avLst/>
        </a:prstGeom>
      </xdr:spPr>
    </xdr:pic>
    <xdr:clientData/>
  </xdr:twoCellAnchor>
  <xdr:twoCellAnchor>
    <xdr:from>
      <xdr:col>4</xdr:col>
      <xdr:colOff>320560</xdr:colOff>
      <xdr:row>123</xdr:row>
      <xdr:rowOff>105531</xdr:rowOff>
    </xdr:from>
    <xdr:to>
      <xdr:col>4</xdr:col>
      <xdr:colOff>912406</xdr:colOff>
      <xdr:row>123</xdr:row>
      <xdr:rowOff>930089</xdr:rowOff>
    </xdr:to>
    <xdr:pic>
      <xdr:nvPicPr>
        <xdr:cNvPr id="100" name="image98.jpe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189220" y="120869075"/>
          <a:ext cx="591820" cy="824230"/>
        </a:xfrm>
        <a:prstGeom prst="rect">
          <a:avLst/>
        </a:prstGeom>
      </xdr:spPr>
    </xdr:pic>
    <xdr:clientData/>
  </xdr:twoCellAnchor>
  <xdr:twoCellAnchor>
    <xdr:from>
      <xdr:col>4</xdr:col>
      <xdr:colOff>331919</xdr:colOff>
      <xdr:row>124</xdr:row>
      <xdr:rowOff>82385</xdr:rowOff>
    </xdr:from>
    <xdr:to>
      <xdr:col>4</xdr:col>
      <xdr:colOff>925566</xdr:colOff>
      <xdr:row>124</xdr:row>
      <xdr:rowOff>952500</xdr:rowOff>
    </xdr:to>
    <xdr:pic>
      <xdr:nvPicPr>
        <xdr:cNvPr id="101" name="image99.jpe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200650" y="121988580"/>
          <a:ext cx="593725" cy="870585"/>
        </a:xfrm>
        <a:prstGeom prst="rect">
          <a:avLst/>
        </a:prstGeom>
      </xdr:spPr>
    </xdr:pic>
    <xdr:clientData/>
  </xdr:twoCellAnchor>
  <xdr:twoCellAnchor>
    <xdr:from>
      <xdr:col>4</xdr:col>
      <xdr:colOff>345061</xdr:colOff>
      <xdr:row>125</xdr:row>
      <xdr:rowOff>28807</xdr:rowOff>
    </xdr:from>
    <xdr:to>
      <xdr:col>4</xdr:col>
      <xdr:colOff>993996</xdr:colOff>
      <xdr:row>125</xdr:row>
      <xdr:rowOff>930088</xdr:rowOff>
    </xdr:to>
    <xdr:pic>
      <xdr:nvPicPr>
        <xdr:cNvPr id="102" name="image100.jpe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213985" y="123078240"/>
          <a:ext cx="648970" cy="901065"/>
        </a:xfrm>
        <a:prstGeom prst="rect">
          <a:avLst/>
        </a:prstGeom>
      </xdr:spPr>
    </xdr:pic>
    <xdr:clientData/>
  </xdr:twoCellAnchor>
  <xdr:twoCellAnchor>
    <xdr:from>
      <xdr:col>4</xdr:col>
      <xdr:colOff>366208</xdr:colOff>
      <xdr:row>126</xdr:row>
      <xdr:rowOff>67166</xdr:rowOff>
    </xdr:from>
    <xdr:to>
      <xdr:col>4</xdr:col>
      <xdr:colOff>999287</xdr:colOff>
      <xdr:row>126</xdr:row>
      <xdr:rowOff>918881</xdr:rowOff>
    </xdr:to>
    <xdr:pic>
      <xdr:nvPicPr>
        <xdr:cNvPr id="103" name="image101.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234940" y="124259340"/>
          <a:ext cx="633095" cy="852170"/>
        </a:xfrm>
        <a:prstGeom prst="rect">
          <a:avLst/>
        </a:prstGeom>
      </xdr:spPr>
    </xdr:pic>
    <xdr:clientData/>
  </xdr:twoCellAnchor>
  <xdr:twoCellAnchor>
    <xdr:from>
      <xdr:col>4</xdr:col>
      <xdr:colOff>284394</xdr:colOff>
      <xdr:row>127</xdr:row>
      <xdr:rowOff>71765</xdr:rowOff>
    </xdr:from>
    <xdr:to>
      <xdr:col>4</xdr:col>
      <xdr:colOff>912673</xdr:colOff>
      <xdr:row>127</xdr:row>
      <xdr:rowOff>941294</xdr:rowOff>
    </xdr:to>
    <xdr:pic>
      <xdr:nvPicPr>
        <xdr:cNvPr id="104" name="image102.jpe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153025" y="125407420"/>
          <a:ext cx="628650" cy="869315"/>
        </a:xfrm>
        <a:prstGeom prst="rect">
          <a:avLst/>
        </a:prstGeom>
      </xdr:spPr>
    </xdr:pic>
    <xdr:clientData/>
  </xdr:twoCellAnchor>
  <xdr:twoCellAnchor>
    <xdr:from>
      <xdr:col>4</xdr:col>
      <xdr:colOff>329296</xdr:colOff>
      <xdr:row>128</xdr:row>
      <xdr:rowOff>50411</xdr:rowOff>
    </xdr:from>
    <xdr:to>
      <xdr:col>4</xdr:col>
      <xdr:colOff>941294</xdr:colOff>
      <xdr:row>128</xdr:row>
      <xdr:rowOff>884840</xdr:rowOff>
    </xdr:to>
    <xdr:pic>
      <xdr:nvPicPr>
        <xdr:cNvPr id="105" name="image103.jpe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5198110" y="126528830"/>
          <a:ext cx="612140" cy="834390"/>
        </a:xfrm>
        <a:prstGeom prst="rect">
          <a:avLst/>
        </a:prstGeom>
      </xdr:spPr>
    </xdr:pic>
    <xdr:clientData/>
  </xdr:twoCellAnchor>
  <xdr:twoCellAnchor>
    <xdr:from>
      <xdr:col>4</xdr:col>
      <xdr:colOff>366186</xdr:colOff>
      <xdr:row>116</xdr:row>
      <xdr:rowOff>29644</xdr:rowOff>
    </xdr:from>
    <xdr:to>
      <xdr:col>4</xdr:col>
      <xdr:colOff>1026093</xdr:colOff>
      <xdr:row>116</xdr:row>
      <xdr:rowOff>941294</xdr:rowOff>
    </xdr:to>
    <xdr:pic>
      <xdr:nvPicPr>
        <xdr:cNvPr id="106" name="image104.jpe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234940" y="112791875"/>
          <a:ext cx="659765" cy="911860"/>
        </a:xfrm>
        <a:prstGeom prst="rect">
          <a:avLst/>
        </a:prstGeom>
      </xdr:spPr>
    </xdr:pic>
    <xdr:clientData/>
  </xdr:twoCellAnchor>
  <xdr:twoCellAnchor>
    <xdr:from>
      <xdr:col>4</xdr:col>
      <xdr:colOff>366918</xdr:colOff>
      <xdr:row>115</xdr:row>
      <xdr:rowOff>31989</xdr:rowOff>
    </xdr:from>
    <xdr:to>
      <xdr:col>4</xdr:col>
      <xdr:colOff>1006722</xdr:colOff>
      <xdr:row>115</xdr:row>
      <xdr:rowOff>918883</xdr:rowOff>
    </xdr:to>
    <xdr:pic>
      <xdr:nvPicPr>
        <xdr:cNvPr id="107" name="image105.jpe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235575" y="111651415"/>
          <a:ext cx="640080" cy="887095"/>
        </a:xfrm>
        <a:prstGeom prst="rect">
          <a:avLst/>
        </a:prstGeom>
      </xdr:spPr>
    </xdr:pic>
    <xdr:clientData/>
  </xdr:twoCellAnchor>
  <xdr:twoCellAnchor>
    <xdr:from>
      <xdr:col>4</xdr:col>
      <xdr:colOff>360977</xdr:colOff>
      <xdr:row>117</xdr:row>
      <xdr:rowOff>48548</xdr:rowOff>
    </xdr:from>
    <xdr:to>
      <xdr:col>4</xdr:col>
      <xdr:colOff>1007994</xdr:colOff>
      <xdr:row>117</xdr:row>
      <xdr:rowOff>963705</xdr:rowOff>
    </xdr:to>
    <xdr:pic>
      <xdr:nvPicPr>
        <xdr:cNvPr id="108" name="image106.jpe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229860" y="113953925"/>
          <a:ext cx="647065" cy="915035"/>
        </a:xfrm>
        <a:prstGeom prst="rect">
          <a:avLst/>
        </a:prstGeom>
      </xdr:spPr>
    </xdr:pic>
    <xdr:clientData/>
  </xdr:twoCellAnchor>
  <xdr:twoCellAnchor>
    <xdr:from>
      <xdr:col>4</xdr:col>
      <xdr:colOff>430001</xdr:colOff>
      <xdr:row>129</xdr:row>
      <xdr:rowOff>45050</xdr:rowOff>
    </xdr:from>
    <xdr:to>
      <xdr:col>4</xdr:col>
      <xdr:colOff>1030941</xdr:colOff>
      <xdr:row>129</xdr:row>
      <xdr:rowOff>929381</xdr:rowOff>
    </xdr:to>
    <xdr:pic>
      <xdr:nvPicPr>
        <xdr:cNvPr id="109" name="image107.jpe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299075" y="127666115"/>
          <a:ext cx="600710" cy="884555"/>
        </a:xfrm>
        <a:prstGeom prst="rect">
          <a:avLst/>
        </a:prstGeom>
      </xdr:spPr>
    </xdr:pic>
    <xdr:clientData/>
  </xdr:twoCellAnchor>
  <xdr:twoCellAnchor>
    <xdr:from>
      <xdr:col>4</xdr:col>
      <xdr:colOff>384630</xdr:colOff>
      <xdr:row>131</xdr:row>
      <xdr:rowOff>87369</xdr:rowOff>
    </xdr:from>
    <xdr:to>
      <xdr:col>4</xdr:col>
      <xdr:colOff>1086913</xdr:colOff>
      <xdr:row>131</xdr:row>
      <xdr:rowOff>916481</xdr:rowOff>
    </xdr:to>
    <xdr:pic>
      <xdr:nvPicPr>
        <xdr:cNvPr id="110" name="image108.jpe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253355" y="129488565"/>
          <a:ext cx="702310" cy="829310"/>
        </a:xfrm>
        <a:prstGeom prst="rect">
          <a:avLst/>
        </a:prstGeom>
      </xdr:spPr>
    </xdr:pic>
    <xdr:clientData/>
  </xdr:twoCellAnchor>
  <xdr:twoCellAnchor>
    <xdr:from>
      <xdr:col>4</xdr:col>
      <xdr:colOff>333280</xdr:colOff>
      <xdr:row>132</xdr:row>
      <xdr:rowOff>87039</xdr:rowOff>
    </xdr:from>
    <xdr:to>
      <xdr:col>4</xdr:col>
      <xdr:colOff>964076</xdr:colOff>
      <xdr:row>132</xdr:row>
      <xdr:rowOff>952500</xdr:rowOff>
    </xdr:to>
    <xdr:pic>
      <xdr:nvPicPr>
        <xdr:cNvPr id="111" name="image109.jpe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201920" y="130506470"/>
          <a:ext cx="631190" cy="865505"/>
        </a:xfrm>
        <a:prstGeom prst="rect">
          <a:avLst/>
        </a:prstGeom>
      </xdr:spPr>
    </xdr:pic>
    <xdr:clientData/>
  </xdr:twoCellAnchor>
  <xdr:twoCellAnchor>
    <xdr:from>
      <xdr:col>4</xdr:col>
      <xdr:colOff>376455</xdr:colOff>
      <xdr:row>133</xdr:row>
      <xdr:rowOff>40464</xdr:rowOff>
    </xdr:from>
    <xdr:to>
      <xdr:col>4</xdr:col>
      <xdr:colOff>1001434</xdr:colOff>
      <xdr:row>133</xdr:row>
      <xdr:rowOff>907675</xdr:rowOff>
    </xdr:to>
    <xdr:pic>
      <xdr:nvPicPr>
        <xdr:cNvPr id="112" name="image110.jpe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245100" y="131477385"/>
          <a:ext cx="625475" cy="867410"/>
        </a:xfrm>
        <a:prstGeom prst="rect">
          <a:avLst/>
        </a:prstGeom>
      </xdr:spPr>
    </xdr:pic>
    <xdr:clientData/>
  </xdr:twoCellAnchor>
  <xdr:twoCellAnchor>
    <xdr:from>
      <xdr:col>4</xdr:col>
      <xdr:colOff>388620</xdr:colOff>
      <xdr:row>134</xdr:row>
      <xdr:rowOff>21704</xdr:rowOff>
    </xdr:from>
    <xdr:to>
      <xdr:col>4</xdr:col>
      <xdr:colOff>1095152</xdr:colOff>
      <xdr:row>134</xdr:row>
      <xdr:rowOff>918882</xdr:rowOff>
    </xdr:to>
    <xdr:pic>
      <xdr:nvPicPr>
        <xdr:cNvPr id="113" name="image111.jpe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257800" y="132476875"/>
          <a:ext cx="706120" cy="897255"/>
        </a:xfrm>
        <a:prstGeom prst="rect">
          <a:avLst/>
        </a:prstGeom>
      </xdr:spPr>
    </xdr:pic>
    <xdr:clientData/>
  </xdr:twoCellAnchor>
  <xdr:twoCellAnchor>
    <xdr:from>
      <xdr:col>4</xdr:col>
      <xdr:colOff>399668</xdr:colOff>
      <xdr:row>135</xdr:row>
      <xdr:rowOff>35877</xdr:rowOff>
    </xdr:from>
    <xdr:to>
      <xdr:col>4</xdr:col>
      <xdr:colOff>1089858</xdr:colOff>
      <xdr:row>135</xdr:row>
      <xdr:rowOff>874059</xdr:rowOff>
    </xdr:to>
    <xdr:pic>
      <xdr:nvPicPr>
        <xdr:cNvPr id="114" name="image112.jpe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268595" y="133508750"/>
          <a:ext cx="690245" cy="838200"/>
        </a:xfrm>
        <a:prstGeom prst="rect">
          <a:avLst/>
        </a:prstGeom>
      </xdr:spPr>
    </xdr:pic>
    <xdr:clientData/>
  </xdr:twoCellAnchor>
  <xdr:twoCellAnchor>
    <xdr:from>
      <xdr:col>4</xdr:col>
      <xdr:colOff>331566</xdr:colOff>
      <xdr:row>136</xdr:row>
      <xdr:rowOff>88493</xdr:rowOff>
    </xdr:from>
    <xdr:to>
      <xdr:col>4</xdr:col>
      <xdr:colOff>1090501</xdr:colOff>
      <xdr:row>136</xdr:row>
      <xdr:rowOff>986117</xdr:rowOff>
    </xdr:to>
    <xdr:pic>
      <xdr:nvPicPr>
        <xdr:cNvPr id="115" name="image113.jpe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200650" y="134579360"/>
          <a:ext cx="758825" cy="897255"/>
        </a:xfrm>
        <a:prstGeom prst="rect">
          <a:avLst/>
        </a:prstGeom>
      </xdr:spPr>
    </xdr:pic>
    <xdr:clientData/>
  </xdr:twoCellAnchor>
  <xdr:twoCellAnchor>
    <xdr:from>
      <xdr:col>4</xdr:col>
      <xdr:colOff>342309</xdr:colOff>
      <xdr:row>137</xdr:row>
      <xdr:rowOff>75356</xdr:rowOff>
    </xdr:from>
    <xdr:to>
      <xdr:col>4</xdr:col>
      <xdr:colOff>998587</xdr:colOff>
      <xdr:row>137</xdr:row>
      <xdr:rowOff>952500</xdr:rowOff>
    </xdr:to>
    <xdr:pic>
      <xdr:nvPicPr>
        <xdr:cNvPr id="116" name="image114.jpe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211445" y="135583930"/>
          <a:ext cx="655955" cy="877570"/>
        </a:xfrm>
        <a:prstGeom prst="rect">
          <a:avLst/>
        </a:prstGeom>
      </xdr:spPr>
    </xdr:pic>
    <xdr:clientData/>
  </xdr:twoCellAnchor>
  <xdr:twoCellAnchor>
    <xdr:from>
      <xdr:col>4</xdr:col>
      <xdr:colOff>373262</xdr:colOff>
      <xdr:row>138</xdr:row>
      <xdr:rowOff>62225</xdr:rowOff>
    </xdr:from>
    <xdr:to>
      <xdr:col>4</xdr:col>
      <xdr:colOff>1025111</xdr:colOff>
      <xdr:row>138</xdr:row>
      <xdr:rowOff>907676</xdr:rowOff>
    </xdr:to>
    <xdr:pic>
      <xdr:nvPicPr>
        <xdr:cNvPr id="117" name="image115.jpe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241925" y="136588500"/>
          <a:ext cx="652145" cy="845820"/>
        </a:xfrm>
        <a:prstGeom prst="rect">
          <a:avLst/>
        </a:prstGeom>
      </xdr:spPr>
    </xdr:pic>
    <xdr:clientData/>
  </xdr:twoCellAnchor>
  <xdr:twoCellAnchor>
    <xdr:from>
      <xdr:col>4</xdr:col>
      <xdr:colOff>356577</xdr:colOff>
      <xdr:row>139</xdr:row>
      <xdr:rowOff>21468</xdr:rowOff>
    </xdr:from>
    <xdr:to>
      <xdr:col>4</xdr:col>
      <xdr:colOff>1100101</xdr:colOff>
      <xdr:row>139</xdr:row>
      <xdr:rowOff>986118</xdr:rowOff>
    </xdr:to>
    <xdr:pic>
      <xdr:nvPicPr>
        <xdr:cNvPr id="118" name="image116.jpe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5225415" y="137565765"/>
          <a:ext cx="743585" cy="964565"/>
        </a:xfrm>
        <a:prstGeom prst="rect">
          <a:avLst/>
        </a:prstGeom>
      </xdr:spPr>
    </xdr:pic>
    <xdr:clientData/>
  </xdr:twoCellAnchor>
  <xdr:twoCellAnchor>
    <xdr:from>
      <xdr:col>4</xdr:col>
      <xdr:colOff>360918</xdr:colOff>
      <xdr:row>140</xdr:row>
      <xdr:rowOff>81643</xdr:rowOff>
    </xdr:from>
    <xdr:to>
      <xdr:col>4</xdr:col>
      <xdr:colOff>963706</xdr:colOff>
      <xdr:row>140</xdr:row>
      <xdr:rowOff>971507</xdr:rowOff>
    </xdr:to>
    <xdr:pic>
      <xdr:nvPicPr>
        <xdr:cNvPr id="119" name="image117.jpe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229860" y="138643995"/>
          <a:ext cx="602615" cy="889635"/>
        </a:xfrm>
        <a:prstGeom prst="rect">
          <a:avLst/>
        </a:prstGeom>
      </xdr:spPr>
    </xdr:pic>
    <xdr:clientData/>
  </xdr:twoCellAnchor>
  <xdr:twoCellAnchor>
    <xdr:from>
      <xdr:col>4</xdr:col>
      <xdr:colOff>349712</xdr:colOff>
      <xdr:row>141</xdr:row>
      <xdr:rowOff>43863</xdr:rowOff>
    </xdr:from>
    <xdr:to>
      <xdr:col>4</xdr:col>
      <xdr:colOff>964253</xdr:colOff>
      <xdr:row>141</xdr:row>
      <xdr:rowOff>974912</xdr:rowOff>
    </xdr:to>
    <xdr:pic>
      <xdr:nvPicPr>
        <xdr:cNvPr id="120" name="image118.jpe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218430" y="139624435"/>
          <a:ext cx="614680" cy="930910"/>
        </a:xfrm>
        <a:prstGeom prst="rect">
          <a:avLst/>
        </a:prstGeom>
      </xdr:spPr>
    </xdr:pic>
    <xdr:clientData/>
  </xdr:twoCellAnchor>
  <xdr:twoCellAnchor>
    <xdr:from>
      <xdr:col>4</xdr:col>
      <xdr:colOff>405594</xdr:colOff>
      <xdr:row>142</xdr:row>
      <xdr:rowOff>75909</xdr:rowOff>
    </xdr:from>
    <xdr:to>
      <xdr:col>4</xdr:col>
      <xdr:colOff>994863</xdr:colOff>
      <xdr:row>142</xdr:row>
      <xdr:rowOff>986119</xdr:rowOff>
    </xdr:to>
    <xdr:pic>
      <xdr:nvPicPr>
        <xdr:cNvPr id="121" name="image119.jpe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5274310" y="140674090"/>
          <a:ext cx="589280" cy="909955"/>
        </a:xfrm>
        <a:prstGeom prst="rect">
          <a:avLst/>
        </a:prstGeom>
      </xdr:spPr>
    </xdr:pic>
    <xdr:clientData/>
  </xdr:twoCellAnchor>
  <xdr:twoCellAnchor>
    <xdr:from>
      <xdr:col>4</xdr:col>
      <xdr:colOff>403550</xdr:colOff>
      <xdr:row>143</xdr:row>
      <xdr:rowOff>50300</xdr:rowOff>
    </xdr:from>
    <xdr:to>
      <xdr:col>4</xdr:col>
      <xdr:colOff>1008529</xdr:colOff>
      <xdr:row>143</xdr:row>
      <xdr:rowOff>974510</xdr:rowOff>
    </xdr:to>
    <xdr:pic>
      <xdr:nvPicPr>
        <xdr:cNvPr id="122" name="image120.jpe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5272405" y="141666595"/>
          <a:ext cx="605155" cy="923925"/>
        </a:xfrm>
        <a:prstGeom prst="rect">
          <a:avLst/>
        </a:prstGeom>
      </xdr:spPr>
    </xdr:pic>
    <xdr:clientData/>
  </xdr:twoCellAnchor>
  <xdr:twoCellAnchor>
    <xdr:from>
      <xdr:col>4</xdr:col>
      <xdr:colOff>378489</xdr:colOff>
      <xdr:row>144</xdr:row>
      <xdr:rowOff>62836</xdr:rowOff>
    </xdr:from>
    <xdr:to>
      <xdr:col>4</xdr:col>
      <xdr:colOff>952498</xdr:colOff>
      <xdr:row>144</xdr:row>
      <xdr:rowOff>979493</xdr:rowOff>
    </xdr:to>
    <xdr:pic>
      <xdr:nvPicPr>
        <xdr:cNvPr id="123" name="image121.jpe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5247640" y="142696565"/>
          <a:ext cx="573405" cy="916940"/>
        </a:xfrm>
        <a:prstGeom prst="rect">
          <a:avLst/>
        </a:prstGeom>
      </xdr:spPr>
    </xdr:pic>
    <xdr:clientData/>
  </xdr:twoCellAnchor>
  <xdr:twoCellAnchor>
    <xdr:from>
      <xdr:col>4</xdr:col>
      <xdr:colOff>367575</xdr:colOff>
      <xdr:row>145</xdr:row>
      <xdr:rowOff>60130</xdr:rowOff>
    </xdr:from>
    <xdr:to>
      <xdr:col>4</xdr:col>
      <xdr:colOff>946711</xdr:colOff>
      <xdr:row>145</xdr:row>
      <xdr:rowOff>963705</xdr:rowOff>
    </xdr:to>
    <xdr:pic>
      <xdr:nvPicPr>
        <xdr:cNvPr id="124" name="image122.jpe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236210" y="143711930"/>
          <a:ext cx="579120" cy="903605"/>
        </a:xfrm>
        <a:prstGeom prst="rect">
          <a:avLst/>
        </a:prstGeom>
      </xdr:spPr>
    </xdr:pic>
    <xdr:clientData/>
  </xdr:twoCellAnchor>
  <xdr:twoCellAnchor>
    <xdr:from>
      <xdr:col>4</xdr:col>
      <xdr:colOff>383040</xdr:colOff>
      <xdr:row>146</xdr:row>
      <xdr:rowOff>123233</xdr:rowOff>
    </xdr:from>
    <xdr:to>
      <xdr:col>4</xdr:col>
      <xdr:colOff>1018676</xdr:colOff>
      <xdr:row>146</xdr:row>
      <xdr:rowOff>952500</xdr:rowOff>
    </xdr:to>
    <xdr:pic>
      <xdr:nvPicPr>
        <xdr:cNvPr id="125" name="image123.jpe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252085" y="144793335"/>
          <a:ext cx="635635" cy="829310"/>
        </a:xfrm>
        <a:prstGeom prst="rect">
          <a:avLst/>
        </a:prstGeom>
      </xdr:spPr>
    </xdr:pic>
    <xdr:clientData/>
  </xdr:twoCellAnchor>
  <xdr:twoCellAnchor>
    <xdr:from>
      <xdr:col>4</xdr:col>
      <xdr:colOff>319744</xdr:colOff>
      <xdr:row>149</xdr:row>
      <xdr:rowOff>112967</xdr:rowOff>
    </xdr:from>
    <xdr:to>
      <xdr:col>4</xdr:col>
      <xdr:colOff>1123146</xdr:colOff>
      <xdr:row>149</xdr:row>
      <xdr:rowOff>952500</xdr:rowOff>
    </xdr:to>
    <xdr:pic>
      <xdr:nvPicPr>
        <xdr:cNvPr id="126" name="image124.jpe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188585" y="147455255"/>
          <a:ext cx="803275" cy="840105"/>
        </a:xfrm>
        <a:prstGeom prst="rect">
          <a:avLst/>
        </a:prstGeom>
      </xdr:spPr>
    </xdr:pic>
    <xdr:clientData/>
  </xdr:twoCellAnchor>
  <xdr:twoCellAnchor>
    <xdr:from>
      <xdr:col>4</xdr:col>
      <xdr:colOff>302335</xdr:colOff>
      <xdr:row>150</xdr:row>
      <xdr:rowOff>65024</xdr:rowOff>
    </xdr:from>
    <xdr:to>
      <xdr:col>4</xdr:col>
      <xdr:colOff>1126263</xdr:colOff>
      <xdr:row>150</xdr:row>
      <xdr:rowOff>941295</xdr:rowOff>
    </xdr:to>
    <xdr:pic>
      <xdr:nvPicPr>
        <xdr:cNvPr id="127" name="image125.jpe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171440" y="148425535"/>
          <a:ext cx="823595" cy="876300"/>
        </a:xfrm>
        <a:prstGeom prst="rect">
          <a:avLst/>
        </a:prstGeom>
      </xdr:spPr>
    </xdr:pic>
    <xdr:clientData/>
  </xdr:twoCellAnchor>
  <xdr:twoCellAnchor>
    <xdr:from>
      <xdr:col>4</xdr:col>
      <xdr:colOff>329981</xdr:colOff>
      <xdr:row>151</xdr:row>
      <xdr:rowOff>52454</xdr:rowOff>
    </xdr:from>
    <xdr:to>
      <xdr:col>4</xdr:col>
      <xdr:colOff>1067465</xdr:colOff>
      <xdr:row>151</xdr:row>
      <xdr:rowOff>941294</xdr:rowOff>
    </xdr:to>
    <xdr:pic>
      <xdr:nvPicPr>
        <xdr:cNvPr id="128" name="image126.jpe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198745" y="149430740"/>
          <a:ext cx="737870" cy="889000"/>
        </a:xfrm>
        <a:prstGeom prst="rect">
          <a:avLst/>
        </a:prstGeom>
      </xdr:spPr>
    </xdr:pic>
    <xdr:clientData/>
  </xdr:twoCellAnchor>
  <xdr:twoCellAnchor>
    <xdr:from>
      <xdr:col>4</xdr:col>
      <xdr:colOff>262734</xdr:colOff>
      <xdr:row>152</xdr:row>
      <xdr:rowOff>85914</xdr:rowOff>
    </xdr:from>
    <xdr:to>
      <xdr:col>4</xdr:col>
      <xdr:colOff>1107770</xdr:colOff>
      <xdr:row>152</xdr:row>
      <xdr:rowOff>930089</xdr:rowOff>
    </xdr:to>
    <xdr:pic>
      <xdr:nvPicPr>
        <xdr:cNvPr id="129" name="image127.jpe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131435" y="150482300"/>
          <a:ext cx="845185" cy="843915"/>
        </a:xfrm>
        <a:prstGeom prst="rect">
          <a:avLst/>
        </a:prstGeom>
      </xdr:spPr>
    </xdr:pic>
    <xdr:clientData/>
  </xdr:twoCellAnchor>
  <xdr:twoCellAnchor>
    <xdr:from>
      <xdr:col>4</xdr:col>
      <xdr:colOff>273248</xdr:colOff>
      <xdr:row>153</xdr:row>
      <xdr:rowOff>81855</xdr:rowOff>
    </xdr:from>
    <xdr:to>
      <xdr:col>4</xdr:col>
      <xdr:colOff>1061133</xdr:colOff>
      <xdr:row>153</xdr:row>
      <xdr:rowOff>885265</xdr:rowOff>
    </xdr:to>
    <xdr:pic>
      <xdr:nvPicPr>
        <xdr:cNvPr id="130" name="image128.jpe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5142230" y="151495760"/>
          <a:ext cx="788035" cy="803910"/>
        </a:xfrm>
        <a:prstGeom prst="rect">
          <a:avLst/>
        </a:prstGeom>
      </xdr:spPr>
    </xdr:pic>
    <xdr:clientData/>
  </xdr:twoCellAnchor>
  <xdr:twoCellAnchor>
    <xdr:from>
      <xdr:col>4</xdr:col>
      <xdr:colOff>333000</xdr:colOff>
      <xdr:row>155</xdr:row>
      <xdr:rowOff>45190</xdr:rowOff>
    </xdr:from>
    <xdr:to>
      <xdr:col>4</xdr:col>
      <xdr:colOff>952500</xdr:colOff>
      <xdr:row>155</xdr:row>
      <xdr:rowOff>897219</xdr:rowOff>
    </xdr:to>
    <xdr:pic>
      <xdr:nvPicPr>
        <xdr:cNvPr id="131" name="image129.jpe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5201920" y="153114375"/>
          <a:ext cx="619760" cy="851535"/>
        </a:xfrm>
        <a:prstGeom prst="rect">
          <a:avLst/>
        </a:prstGeom>
      </xdr:spPr>
    </xdr:pic>
    <xdr:clientData/>
  </xdr:twoCellAnchor>
  <xdr:twoCellAnchor>
    <xdr:from>
      <xdr:col>4</xdr:col>
      <xdr:colOff>316147</xdr:colOff>
      <xdr:row>157</xdr:row>
      <xdr:rowOff>90827</xdr:rowOff>
    </xdr:from>
    <xdr:to>
      <xdr:col>4</xdr:col>
      <xdr:colOff>1030941</xdr:colOff>
      <xdr:row>157</xdr:row>
      <xdr:rowOff>986516</xdr:rowOff>
    </xdr:to>
    <xdr:pic>
      <xdr:nvPicPr>
        <xdr:cNvPr id="132" name="image130.jpe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184775" y="154814905"/>
          <a:ext cx="715010" cy="895350"/>
        </a:xfrm>
        <a:prstGeom prst="rect">
          <a:avLst/>
        </a:prstGeom>
      </xdr:spPr>
    </xdr:pic>
    <xdr:clientData/>
  </xdr:twoCellAnchor>
  <xdr:twoCellAnchor>
    <xdr:from>
      <xdr:col>4</xdr:col>
      <xdr:colOff>312689</xdr:colOff>
      <xdr:row>159</xdr:row>
      <xdr:rowOff>52100</xdr:rowOff>
    </xdr:from>
    <xdr:to>
      <xdr:col>4</xdr:col>
      <xdr:colOff>950167</xdr:colOff>
      <xdr:row>159</xdr:row>
      <xdr:rowOff>918882</xdr:rowOff>
    </xdr:to>
    <xdr:pic>
      <xdr:nvPicPr>
        <xdr:cNvPr id="133" name="image131.jpe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181600" y="156430980"/>
          <a:ext cx="637540" cy="866775"/>
        </a:xfrm>
        <a:prstGeom prst="rect">
          <a:avLst/>
        </a:prstGeom>
      </xdr:spPr>
    </xdr:pic>
    <xdr:clientData/>
  </xdr:twoCellAnchor>
  <xdr:twoCellAnchor>
    <xdr:from>
      <xdr:col>4</xdr:col>
      <xdr:colOff>369570</xdr:colOff>
      <xdr:row>160</xdr:row>
      <xdr:rowOff>14704</xdr:rowOff>
    </xdr:from>
    <xdr:to>
      <xdr:col>4</xdr:col>
      <xdr:colOff>1071718</xdr:colOff>
      <xdr:row>160</xdr:row>
      <xdr:rowOff>952500</xdr:rowOff>
    </xdr:to>
    <xdr:pic>
      <xdr:nvPicPr>
        <xdr:cNvPr id="134" name="image132.jpe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238750" y="157411420"/>
          <a:ext cx="701675" cy="937895"/>
        </a:xfrm>
        <a:prstGeom prst="rect">
          <a:avLst/>
        </a:prstGeom>
      </xdr:spPr>
    </xdr:pic>
    <xdr:clientData/>
  </xdr:twoCellAnchor>
  <xdr:twoCellAnchor>
    <xdr:from>
      <xdr:col>4</xdr:col>
      <xdr:colOff>67667</xdr:colOff>
      <xdr:row>162</xdr:row>
      <xdr:rowOff>157620</xdr:rowOff>
    </xdr:from>
    <xdr:to>
      <xdr:col>4</xdr:col>
      <xdr:colOff>1249204</xdr:colOff>
      <xdr:row>162</xdr:row>
      <xdr:rowOff>885265</xdr:rowOff>
    </xdr:to>
    <xdr:pic>
      <xdr:nvPicPr>
        <xdr:cNvPr id="135" name="image133.jpe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4936490" y="159209105"/>
          <a:ext cx="1181735" cy="727710"/>
        </a:xfrm>
        <a:prstGeom prst="rect">
          <a:avLst/>
        </a:prstGeom>
      </xdr:spPr>
    </xdr:pic>
    <xdr:clientData/>
  </xdr:twoCellAnchor>
  <xdr:twoCellAnchor>
    <xdr:from>
      <xdr:col>4</xdr:col>
      <xdr:colOff>146759</xdr:colOff>
      <xdr:row>163</xdr:row>
      <xdr:rowOff>125828</xdr:rowOff>
    </xdr:from>
    <xdr:to>
      <xdr:col>4</xdr:col>
      <xdr:colOff>1115892</xdr:colOff>
      <xdr:row>163</xdr:row>
      <xdr:rowOff>874058</xdr:rowOff>
    </xdr:to>
    <xdr:pic>
      <xdr:nvPicPr>
        <xdr:cNvPr id="136" name="image134.jpe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5015865" y="160195260"/>
          <a:ext cx="969010" cy="748030"/>
        </a:xfrm>
        <a:prstGeom prst="rect">
          <a:avLst/>
        </a:prstGeom>
      </xdr:spPr>
    </xdr:pic>
    <xdr:clientData/>
  </xdr:twoCellAnchor>
  <xdr:twoCellAnchor>
    <xdr:from>
      <xdr:col>4</xdr:col>
      <xdr:colOff>17086</xdr:colOff>
      <xdr:row>164</xdr:row>
      <xdr:rowOff>105188</xdr:rowOff>
    </xdr:from>
    <xdr:to>
      <xdr:col>4</xdr:col>
      <xdr:colOff>1197930</xdr:colOff>
      <xdr:row>164</xdr:row>
      <xdr:rowOff>784412</xdr:rowOff>
    </xdr:to>
    <xdr:pic>
      <xdr:nvPicPr>
        <xdr:cNvPr id="137" name="image135.jpe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4885690" y="161192210"/>
          <a:ext cx="1181100" cy="679450"/>
        </a:xfrm>
        <a:prstGeom prst="rect">
          <a:avLst/>
        </a:prstGeom>
      </xdr:spPr>
    </xdr:pic>
    <xdr:clientData/>
  </xdr:twoCellAnchor>
  <xdr:twoCellAnchor>
    <xdr:from>
      <xdr:col>4</xdr:col>
      <xdr:colOff>53668</xdr:colOff>
      <xdr:row>165</xdr:row>
      <xdr:rowOff>198850</xdr:rowOff>
    </xdr:from>
    <xdr:to>
      <xdr:col>4</xdr:col>
      <xdr:colOff>1200182</xdr:colOff>
      <xdr:row>165</xdr:row>
      <xdr:rowOff>773205</xdr:rowOff>
    </xdr:to>
    <xdr:pic>
      <xdr:nvPicPr>
        <xdr:cNvPr id="138" name="image136.jpe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4922520" y="162304095"/>
          <a:ext cx="1146810" cy="574040"/>
        </a:xfrm>
        <a:prstGeom prst="rect">
          <a:avLst/>
        </a:prstGeom>
      </xdr:spPr>
    </xdr:pic>
    <xdr:clientData/>
  </xdr:twoCellAnchor>
  <xdr:twoCellAnchor>
    <xdr:from>
      <xdr:col>4</xdr:col>
      <xdr:colOff>201338</xdr:colOff>
      <xdr:row>167</xdr:row>
      <xdr:rowOff>86231</xdr:rowOff>
    </xdr:from>
    <xdr:to>
      <xdr:col>4</xdr:col>
      <xdr:colOff>1130867</xdr:colOff>
      <xdr:row>167</xdr:row>
      <xdr:rowOff>840441</xdr:rowOff>
    </xdr:to>
    <xdr:pic>
      <xdr:nvPicPr>
        <xdr:cNvPr id="139" name="image137.jpe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5070475" y="163845875"/>
          <a:ext cx="929005" cy="754380"/>
        </a:xfrm>
        <a:prstGeom prst="rect">
          <a:avLst/>
        </a:prstGeom>
      </xdr:spPr>
    </xdr:pic>
    <xdr:clientData/>
  </xdr:twoCellAnchor>
  <xdr:twoCellAnchor>
    <xdr:from>
      <xdr:col>4</xdr:col>
      <xdr:colOff>104415</xdr:colOff>
      <xdr:row>168</xdr:row>
      <xdr:rowOff>108299</xdr:rowOff>
    </xdr:from>
    <xdr:to>
      <xdr:col>4</xdr:col>
      <xdr:colOff>1210529</xdr:colOff>
      <xdr:row>168</xdr:row>
      <xdr:rowOff>918882</xdr:rowOff>
    </xdr:to>
    <xdr:pic>
      <xdr:nvPicPr>
        <xdr:cNvPr id="140" name="image138.jpe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4973320" y="164886005"/>
          <a:ext cx="1106170" cy="810895"/>
        </a:xfrm>
        <a:prstGeom prst="rect">
          <a:avLst/>
        </a:prstGeom>
      </xdr:spPr>
    </xdr:pic>
    <xdr:clientData/>
  </xdr:twoCellAnchor>
  <xdr:twoCellAnchor>
    <xdr:from>
      <xdr:col>4</xdr:col>
      <xdr:colOff>32220</xdr:colOff>
      <xdr:row>169</xdr:row>
      <xdr:rowOff>124601</xdr:rowOff>
    </xdr:from>
    <xdr:to>
      <xdr:col>4</xdr:col>
      <xdr:colOff>1183958</xdr:colOff>
      <xdr:row>169</xdr:row>
      <xdr:rowOff>862853</xdr:rowOff>
    </xdr:to>
    <xdr:pic>
      <xdr:nvPicPr>
        <xdr:cNvPr id="141" name="image139.jpe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900930" y="165920420"/>
          <a:ext cx="1151890" cy="737870"/>
        </a:xfrm>
        <a:prstGeom prst="rect">
          <a:avLst/>
        </a:prstGeom>
      </xdr:spPr>
    </xdr:pic>
    <xdr:clientData/>
  </xdr:twoCellAnchor>
  <xdr:twoCellAnchor>
    <xdr:from>
      <xdr:col>4</xdr:col>
      <xdr:colOff>125908</xdr:colOff>
      <xdr:row>170</xdr:row>
      <xdr:rowOff>127271</xdr:rowOff>
    </xdr:from>
    <xdr:to>
      <xdr:col>4</xdr:col>
      <xdr:colOff>1158861</xdr:colOff>
      <xdr:row>170</xdr:row>
      <xdr:rowOff>918883</xdr:rowOff>
    </xdr:to>
    <xdr:pic>
      <xdr:nvPicPr>
        <xdr:cNvPr id="142" name="image140.jpe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994910" y="166940865"/>
          <a:ext cx="1032510" cy="791845"/>
        </a:xfrm>
        <a:prstGeom prst="rect">
          <a:avLst/>
        </a:prstGeom>
      </xdr:spPr>
    </xdr:pic>
    <xdr:clientData/>
  </xdr:twoCellAnchor>
  <xdr:twoCellAnchor>
    <xdr:from>
      <xdr:col>4</xdr:col>
      <xdr:colOff>127315</xdr:colOff>
      <xdr:row>172</xdr:row>
      <xdr:rowOff>216125</xdr:rowOff>
    </xdr:from>
    <xdr:to>
      <xdr:col>4</xdr:col>
      <xdr:colOff>1154206</xdr:colOff>
      <xdr:row>172</xdr:row>
      <xdr:rowOff>903030</xdr:rowOff>
    </xdr:to>
    <xdr:pic>
      <xdr:nvPicPr>
        <xdr:cNvPr id="143" name="image141.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4996180" y="168684575"/>
          <a:ext cx="1026795" cy="687070"/>
        </a:xfrm>
        <a:prstGeom prst="rect">
          <a:avLst/>
        </a:prstGeom>
      </xdr:spPr>
    </xdr:pic>
    <xdr:clientData/>
  </xdr:twoCellAnchor>
  <xdr:twoCellAnchor>
    <xdr:from>
      <xdr:col>4</xdr:col>
      <xdr:colOff>61018</xdr:colOff>
      <xdr:row>173</xdr:row>
      <xdr:rowOff>203522</xdr:rowOff>
    </xdr:from>
    <xdr:to>
      <xdr:col>4</xdr:col>
      <xdr:colOff>1206477</xdr:colOff>
      <xdr:row>173</xdr:row>
      <xdr:rowOff>907675</xdr:rowOff>
    </xdr:to>
    <xdr:pic>
      <xdr:nvPicPr>
        <xdr:cNvPr id="144" name="image142.jpe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4930140" y="169689780"/>
          <a:ext cx="1144905" cy="704215"/>
        </a:xfrm>
        <a:prstGeom prst="rect">
          <a:avLst/>
        </a:prstGeom>
      </xdr:spPr>
    </xdr:pic>
    <xdr:clientData/>
  </xdr:twoCellAnchor>
  <xdr:twoCellAnchor>
    <xdr:from>
      <xdr:col>4</xdr:col>
      <xdr:colOff>29904</xdr:colOff>
      <xdr:row>174</xdr:row>
      <xdr:rowOff>227424</xdr:rowOff>
    </xdr:from>
    <xdr:to>
      <xdr:col>4</xdr:col>
      <xdr:colOff>1165270</xdr:colOff>
      <xdr:row>174</xdr:row>
      <xdr:rowOff>829236</xdr:rowOff>
    </xdr:to>
    <xdr:pic>
      <xdr:nvPicPr>
        <xdr:cNvPr id="145" name="image143.jpe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4899025" y="170731815"/>
          <a:ext cx="1135380" cy="601345"/>
        </a:xfrm>
        <a:prstGeom prst="rect">
          <a:avLst/>
        </a:prstGeom>
      </xdr:spPr>
    </xdr:pic>
    <xdr:clientData/>
  </xdr:twoCellAnchor>
  <xdr:twoCellAnchor>
    <xdr:from>
      <xdr:col>4</xdr:col>
      <xdr:colOff>161177</xdr:colOff>
      <xdr:row>175</xdr:row>
      <xdr:rowOff>195687</xdr:rowOff>
    </xdr:from>
    <xdr:to>
      <xdr:col>4</xdr:col>
      <xdr:colOff>1141519</xdr:colOff>
      <xdr:row>175</xdr:row>
      <xdr:rowOff>874059</xdr:rowOff>
    </xdr:to>
    <xdr:pic>
      <xdr:nvPicPr>
        <xdr:cNvPr id="146" name="image144.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5029835" y="171717970"/>
          <a:ext cx="980440" cy="678180"/>
        </a:xfrm>
        <a:prstGeom prst="rect">
          <a:avLst/>
        </a:prstGeom>
      </xdr:spPr>
    </xdr:pic>
    <xdr:clientData/>
  </xdr:twoCellAnchor>
  <xdr:twoCellAnchor>
    <xdr:from>
      <xdr:col>4</xdr:col>
      <xdr:colOff>315108</xdr:colOff>
      <xdr:row>177</xdr:row>
      <xdr:rowOff>74253</xdr:rowOff>
    </xdr:from>
    <xdr:to>
      <xdr:col>4</xdr:col>
      <xdr:colOff>1080873</xdr:colOff>
      <xdr:row>177</xdr:row>
      <xdr:rowOff>862853</xdr:rowOff>
    </xdr:to>
    <xdr:pic>
      <xdr:nvPicPr>
        <xdr:cNvPr id="147" name="image145.jpe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184140" y="173250860"/>
          <a:ext cx="765810" cy="788670"/>
        </a:xfrm>
        <a:prstGeom prst="rect">
          <a:avLst/>
        </a:prstGeom>
      </xdr:spPr>
    </xdr:pic>
    <xdr:clientData/>
  </xdr:twoCellAnchor>
  <xdr:twoCellAnchor>
    <xdr:from>
      <xdr:col>4</xdr:col>
      <xdr:colOff>281984</xdr:colOff>
      <xdr:row>181</xdr:row>
      <xdr:rowOff>80142</xdr:rowOff>
    </xdr:from>
    <xdr:to>
      <xdr:col>4</xdr:col>
      <xdr:colOff>1071038</xdr:colOff>
      <xdr:row>181</xdr:row>
      <xdr:rowOff>974911</xdr:rowOff>
    </xdr:to>
    <xdr:pic>
      <xdr:nvPicPr>
        <xdr:cNvPr id="148" name="image146.jpe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151120" y="177328830"/>
          <a:ext cx="788670" cy="894715"/>
        </a:xfrm>
        <a:prstGeom prst="rect">
          <a:avLst/>
        </a:prstGeom>
      </xdr:spPr>
    </xdr:pic>
    <xdr:clientData/>
  </xdr:twoCellAnchor>
  <xdr:twoCellAnchor>
    <xdr:from>
      <xdr:col>4</xdr:col>
      <xdr:colOff>385325</xdr:colOff>
      <xdr:row>178</xdr:row>
      <xdr:rowOff>42900</xdr:rowOff>
    </xdr:from>
    <xdr:to>
      <xdr:col>4</xdr:col>
      <xdr:colOff>1031529</xdr:colOff>
      <xdr:row>178</xdr:row>
      <xdr:rowOff>974911</xdr:rowOff>
    </xdr:to>
    <xdr:pic>
      <xdr:nvPicPr>
        <xdr:cNvPr id="149" name="image147.jpe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253990" y="174237650"/>
          <a:ext cx="646430" cy="932180"/>
        </a:xfrm>
        <a:prstGeom prst="rect">
          <a:avLst/>
        </a:prstGeom>
      </xdr:spPr>
    </xdr:pic>
    <xdr:clientData/>
  </xdr:twoCellAnchor>
  <xdr:twoCellAnchor>
    <xdr:from>
      <xdr:col>4</xdr:col>
      <xdr:colOff>407736</xdr:colOff>
      <xdr:row>179</xdr:row>
      <xdr:rowOff>28468</xdr:rowOff>
    </xdr:from>
    <xdr:to>
      <xdr:col>4</xdr:col>
      <xdr:colOff>968790</xdr:colOff>
      <xdr:row>179</xdr:row>
      <xdr:rowOff>997324</xdr:rowOff>
    </xdr:to>
    <xdr:pic>
      <xdr:nvPicPr>
        <xdr:cNvPr id="150" name="image148.jpe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276850" y="175240950"/>
          <a:ext cx="560705" cy="969010"/>
        </a:xfrm>
        <a:prstGeom prst="rect">
          <a:avLst/>
        </a:prstGeom>
      </xdr:spPr>
    </xdr:pic>
    <xdr:clientData/>
  </xdr:twoCellAnchor>
  <xdr:twoCellAnchor>
    <xdr:from>
      <xdr:col>4</xdr:col>
      <xdr:colOff>63142</xdr:colOff>
      <xdr:row>183</xdr:row>
      <xdr:rowOff>31373</xdr:rowOff>
    </xdr:from>
    <xdr:to>
      <xdr:col>4</xdr:col>
      <xdr:colOff>593912</xdr:colOff>
      <xdr:row>183</xdr:row>
      <xdr:rowOff>969090</xdr:rowOff>
    </xdr:to>
    <xdr:pic>
      <xdr:nvPicPr>
        <xdr:cNvPr id="151" name="image149.jpe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4932045" y="178934745"/>
          <a:ext cx="530860" cy="937895"/>
        </a:xfrm>
        <a:prstGeom prst="rect">
          <a:avLst/>
        </a:prstGeom>
      </xdr:spPr>
    </xdr:pic>
    <xdr:clientData/>
  </xdr:twoCellAnchor>
  <xdr:twoCellAnchor>
    <xdr:from>
      <xdr:col>4</xdr:col>
      <xdr:colOff>679240</xdr:colOff>
      <xdr:row>185</xdr:row>
      <xdr:rowOff>110956</xdr:rowOff>
    </xdr:from>
    <xdr:to>
      <xdr:col>4</xdr:col>
      <xdr:colOff>1213454</xdr:colOff>
      <xdr:row>185</xdr:row>
      <xdr:rowOff>930088</xdr:rowOff>
    </xdr:to>
    <xdr:pic>
      <xdr:nvPicPr>
        <xdr:cNvPr id="152" name="image150.jpe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547995" y="181049930"/>
          <a:ext cx="534035" cy="819150"/>
        </a:xfrm>
        <a:prstGeom prst="rect">
          <a:avLst/>
        </a:prstGeom>
      </xdr:spPr>
    </xdr:pic>
    <xdr:clientData/>
  </xdr:twoCellAnchor>
  <xdr:twoCellAnchor>
    <xdr:from>
      <xdr:col>4</xdr:col>
      <xdr:colOff>230409</xdr:colOff>
      <xdr:row>184</xdr:row>
      <xdr:rowOff>43723</xdr:rowOff>
    </xdr:from>
    <xdr:to>
      <xdr:col>4</xdr:col>
      <xdr:colOff>930089</xdr:colOff>
      <xdr:row>184</xdr:row>
      <xdr:rowOff>971909</xdr:rowOff>
    </xdr:to>
    <xdr:pic>
      <xdr:nvPicPr>
        <xdr:cNvPr id="153" name="image151.jpe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tretch>
          <a:fillRect/>
        </a:stretch>
      </xdr:blipFill>
      <xdr:spPr>
        <a:xfrm>
          <a:off x="5099050" y="179964715"/>
          <a:ext cx="699770" cy="928370"/>
        </a:xfrm>
        <a:prstGeom prst="rect">
          <a:avLst/>
        </a:prstGeom>
      </xdr:spPr>
    </xdr:pic>
    <xdr:clientData/>
  </xdr:twoCellAnchor>
  <xdr:twoCellAnchor>
    <xdr:from>
      <xdr:col>4</xdr:col>
      <xdr:colOff>157905</xdr:colOff>
      <xdr:row>185</xdr:row>
      <xdr:rowOff>71212</xdr:rowOff>
    </xdr:from>
    <xdr:to>
      <xdr:col>4</xdr:col>
      <xdr:colOff>688164</xdr:colOff>
      <xdr:row>185</xdr:row>
      <xdr:rowOff>941294</xdr:rowOff>
    </xdr:to>
    <xdr:pic>
      <xdr:nvPicPr>
        <xdr:cNvPr id="154" name="image152.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tretch>
          <a:fillRect/>
        </a:stretch>
      </xdr:blipFill>
      <xdr:spPr>
        <a:xfrm>
          <a:off x="5026660" y="181010560"/>
          <a:ext cx="530225" cy="869950"/>
        </a:xfrm>
        <a:prstGeom prst="rect">
          <a:avLst/>
        </a:prstGeom>
      </xdr:spPr>
    </xdr:pic>
    <xdr:clientData/>
  </xdr:twoCellAnchor>
  <xdr:twoCellAnchor>
    <xdr:from>
      <xdr:col>4</xdr:col>
      <xdr:colOff>96312</xdr:colOff>
      <xdr:row>187</xdr:row>
      <xdr:rowOff>64392</xdr:rowOff>
    </xdr:from>
    <xdr:to>
      <xdr:col>4</xdr:col>
      <xdr:colOff>1098176</xdr:colOff>
      <xdr:row>187</xdr:row>
      <xdr:rowOff>944278</xdr:rowOff>
    </xdr:to>
    <xdr:pic>
      <xdr:nvPicPr>
        <xdr:cNvPr id="155" name="image153.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4965065" y="182658385"/>
          <a:ext cx="1002030" cy="880110"/>
        </a:xfrm>
        <a:prstGeom prst="rect">
          <a:avLst/>
        </a:prstGeom>
      </xdr:spPr>
    </xdr:pic>
    <xdr:clientData/>
  </xdr:twoCellAnchor>
  <xdr:twoCellAnchor>
    <xdr:from>
      <xdr:col>4</xdr:col>
      <xdr:colOff>216870</xdr:colOff>
      <xdr:row>180</xdr:row>
      <xdr:rowOff>102550</xdr:rowOff>
    </xdr:from>
    <xdr:to>
      <xdr:col>4</xdr:col>
      <xdr:colOff>1094705</xdr:colOff>
      <xdr:row>180</xdr:row>
      <xdr:rowOff>963705</xdr:rowOff>
    </xdr:to>
    <xdr:pic>
      <xdr:nvPicPr>
        <xdr:cNvPr id="156" name="image154.jpe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085715" y="176333150"/>
          <a:ext cx="877570" cy="861060"/>
        </a:xfrm>
        <a:prstGeom prst="rect">
          <a:avLst/>
        </a:prstGeom>
      </xdr:spPr>
    </xdr:pic>
    <xdr:clientData/>
  </xdr:twoCellAnchor>
  <xdr:twoCellAnchor>
    <xdr:from>
      <xdr:col>4</xdr:col>
      <xdr:colOff>619840</xdr:colOff>
      <xdr:row>183</xdr:row>
      <xdr:rowOff>70069</xdr:rowOff>
    </xdr:from>
    <xdr:to>
      <xdr:col>4</xdr:col>
      <xdr:colOff>1223997</xdr:colOff>
      <xdr:row>183</xdr:row>
      <xdr:rowOff>941293</xdr:rowOff>
    </xdr:to>
    <xdr:pic>
      <xdr:nvPicPr>
        <xdr:cNvPr id="157" name="image155.jpe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488940" y="178973480"/>
          <a:ext cx="603885" cy="871220"/>
        </a:xfrm>
        <a:prstGeom prst="rect">
          <a:avLst/>
        </a:prstGeom>
      </xdr:spPr>
    </xdr:pic>
    <xdr:clientData/>
  </xdr:twoCellAnchor>
  <xdr:twoCellAnchor>
    <xdr:from>
      <xdr:col>4</xdr:col>
      <xdr:colOff>128607</xdr:colOff>
      <xdr:row>75</xdr:row>
      <xdr:rowOff>735076</xdr:rowOff>
    </xdr:from>
    <xdr:to>
      <xdr:col>4</xdr:col>
      <xdr:colOff>1176725</xdr:colOff>
      <xdr:row>76</xdr:row>
      <xdr:rowOff>80292</xdr:rowOff>
    </xdr:to>
    <xdr:pic>
      <xdr:nvPicPr>
        <xdr:cNvPr id="158" name="image65.jpe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4997450" y="72405875"/>
          <a:ext cx="1048385" cy="363220"/>
        </a:xfrm>
        <a:prstGeom prst="rect">
          <a:avLst/>
        </a:prstGeom>
      </xdr:spPr>
    </xdr:pic>
    <xdr:clientData/>
  </xdr:twoCellAnchor>
  <xdr:twoCellAnchor>
    <xdr:from>
      <xdr:col>4</xdr:col>
      <xdr:colOff>408214</xdr:colOff>
      <xdr:row>147</xdr:row>
      <xdr:rowOff>54428</xdr:rowOff>
    </xdr:from>
    <xdr:to>
      <xdr:col>4</xdr:col>
      <xdr:colOff>961279</xdr:colOff>
      <xdr:row>147</xdr:row>
      <xdr:rowOff>911679</xdr:rowOff>
    </xdr:to>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6" cstate="print">
          <a:extLst>
            <a:ext uri="{28A0092B-C50C-407E-A947-70E740481C1C}">
              <a14:useLocalDpi xmlns:a14="http://schemas.microsoft.com/office/drawing/2010/main" val="0"/>
            </a:ext>
          </a:extLst>
        </a:blip>
        <a:srcRect/>
        <a:stretch>
          <a:fillRect/>
        </a:stretch>
      </xdr:blipFill>
      <xdr:spPr>
        <a:xfrm>
          <a:off x="5276850" y="145742025"/>
          <a:ext cx="553085" cy="8572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V364"/>
  <sheetViews>
    <sheetView tabSelected="1" view="pageBreakPreview" topLeftCell="E1" zoomScale="85" zoomScaleNormal="100" workbookViewId="0">
      <pane ySplit="4" topLeftCell="A150" activePane="bottomLeft" state="frozen"/>
      <selection pane="bottomLeft" activeCell="I202" sqref="I202"/>
    </sheetView>
  </sheetViews>
  <sheetFormatPr defaultColWidth="9" defaultRowHeight="12.75"/>
  <cols>
    <col min="1" max="1" width="9" style="2"/>
    <col min="2" max="2" width="9.6640625" style="2" customWidth="1"/>
    <col min="3" max="3" width="32" style="2" customWidth="1"/>
    <col min="4" max="4" width="34.5" style="2" customWidth="1"/>
    <col min="5" max="5" width="22" style="2" customWidth="1"/>
    <col min="6" max="6" width="51.5" style="2" customWidth="1"/>
    <col min="7" max="7" width="26.6640625" style="2" customWidth="1"/>
    <col min="8" max="8" width="32" style="2" customWidth="1"/>
    <col min="9" max="9" width="58.1640625" style="2" customWidth="1"/>
    <col min="10" max="10" width="35.1640625" style="2" customWidth="1"/>
    <col min="11" max="11" width="14.33203125" style="2" customWidth="1"/>
    <col min="12" max="12" width="14.1640625" style="2" customWidth="1"/>
    <col min="13" max="13" width="17.5" style="2" customWidth="1"/>
    <col min="14" max="14" width="22.6640625" style="3" customWidth="1"/>
    <col min="15" max="15" width="24.1640625" style="4" customWidth="1"/>
    <col min="16" max="16" width="25.83203125" style="4" customWidth="1"/>
    <col min="17" max="20" width="9.33203125" style="5"/>
    <col min="21" max="16384" width="9" style="2"/>
  </cols>
  <sheetData>
    <row r="1" spans="2:48" ht="39.950000000000003" customHeight="1">
      <c r="B1" s="60" t="s">
        <v>0</v>
      </c>
      <c r="C1" s="60"/>
      <c r="D1" s="60"/>
      <c r="E1" s="60"/>
      <c r="F1" s="60"/>
      <c r="G1" s="60"/>
      <c r="H1" s="60"/>
      <c r="I1" s="60"/>
      <c r="J1" s="60"/>
      <c r="K1" s="60"/>
      <c r="L1" s="60"/>
      <c r="M1" s="60"/>
      <c r="N1" s="6"/>
      <c r="O1" s="5"/>
      <c r="P1" s="5"/>
    </row>
    <row r="2" spans="2:48" ht="39.950000000000003" customHeight="1">
      <c r="B2" s="61" t="s">
        <v>1</v>
      </c>
      <c r="C2" s="61"/>
      <c r="D2" s="61"/>
      <c r="E2" s="61"/>
      <c r="F2" s="61"/>
      <c r="G2" s="61"/>
      <c r="H2" s="61"/>
      <c r="I2" s="61"/>
      <c r="J2" s="61"/>
      <c r="K2" s="61"/>
      <c r="L2" s="61"/>
      <c r="M2" s="61"/>
      <c r="N2" s="7"/>
      <c r="O2" s="5"/>
      <c r="P2" s="5"/>
    </row>
    <row r="3" spans="2:48" ht="50.1" customHeight="1">
      <c r="B3" s="66" t="s">
        <v>2</v>
      </c>
      <c r="C3" s="62" t="s">
        <v>3</v>
      </c>
      <c r="D3" s="62" t="s">
        <v>4</v>
      </c>
      <c r="E3" s="79" t="s">
        <v>5</v>
      </c>
      <c r="F3" s="79" t="s">
        <v>6</v>
      </c>
      <c r="G3" s="62" t="s">
        <v>7</v>
      </c>
      <c r="H3" s="62"/>
      <c r="I3" s="62" t="s">
        <v>8</v>
      </c>
      <c r="J3" s="79" t="s">
        <v>9</v>
      </c>
      <c r="K3" s="62" t="s">
        <v>10</v>
      </c>
      <c r="L3" s="62"/>
      <c r="M3" s="62"/>
      <c r="N3" s="62" t="s">
        <v>11</v>
      </c>
      <c r="O3" s="62" t="s">
        <v>12</v>
      </c>
      <c r="P3" s="62" t="s">
        <v>13</v>
      </c>
      <c r="U3" s="5"/>
      <c r="V3" s="5"/>
      <c r="W3" s="5"/>
      <c r="X3" s="5"/>
      <c r="Y3" s="5"/>
      <c r="Z3" s="5"/>
      <c r="AA3" s="5"/>
      <c r="AB3" s="5"/>
      <c r="AC3" s="5"/>
      <c r="AD3" s="5"/>
      <c r="AE3" s="5"/>
      <c r="AF3" s="5"/>
      <c r="AG3" s="5"/>
      <c r="AH3" s="5"/>
      <c r="AI3" s="5"/>
      <c r="AJ3" s="5"/>
      <c r="AK3" s="5"/>
      <c r="AL3" s="5"/>
      <c r="AM3" s="5"/>
      <c r="AN3" s="5"/>
      <c r="AO3" s="5"/>
      <c r="AP3" s="5"/>
      <c r="AQ3" s="5"/>
      <c r="AR3" s="5"/>
      <c r="AS3" s="5"/>
      <c r="AT3" s="5"/>
      <c r="AU3" s="5"/>
      <c r="AV3" s="5"/>
    </row>
    <row r="4" spans="2:48" ht="33.200000000000003" customHeight="1">
      <c r="B4" s="67"/>
      <c r="C4" s="62"/>
      <c r="D4" s="62"/>
      <c r="E4" s="80"/>
      <c r="F4" s="80"/>
      <c r="G4" s="8" t="s">
        <v>14</v>
      </c>
      <c r="H4" s="8" t="s">
        <v>15</v>
      </c>
      <c r="I4" s="62"/>
      <c r="J4" s="80"/>
      <c r="K4" s="9" t="s">
        <v>16</v>
      </c>
      <c r="L4" s="9" t="s">
        <v>17</v>
      </c>
      <c r="M4" s="9" t="s">
        <v>18</v>
      </c>
      <c r="N4" s="62"/>
      <c r="O4" s="62"/>
      <c r="P4" s="62"/>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2:48" ht="80.099999999999994" customHeight="1">
      <c r="B5" s="59" t="s">
        <v>19</v>
      </c>
      <c r="C5" s="11" t="s">
        <v>20</v>
      </c>
      <c r="D5" s="11" t="s">
        <v>21</v>
      </c>
      <c r="E5" s="12"/>
      <c r="F5" s="11" t="s">
        <v>22</v>
      </c>
      <c r="G5" s="13" t="s">
        <v>23</v>
      </c>
      <c r="H5" s="14" t="s">
        <v>24</v>
      </c>
      <c r="I5" s="15" t="s">
        <v>25</v>
      </c>
      <c r="J5" s="11" t="s">
        <v>26</v>
      </c>
      <c r="K5" s="16">
        <f t="shared" ref="K5:K32" si="0">L5*(1-0.22)</f>
        <v>14040</v>
      </c>
      <c r="L5" s="17">
        <v>18000</v>
      </c>
      <c r="M5" s="18">
        <v>0.22</v>
      </c>
      <c r="N5" s="19" t="s">
        <v>27</v>
      </c>
      <c r="O5" s="20" t="s">
        <v>28</v>
      </c>
      <c r="P5" s="20" t="s">
        <v>29</v>
      </c>
      <c r="U5" s="5"/>
      <c r="V5" s="5"/>
      <c r="W5" s="5"/>
      <c r="X5" s="5"/>
      <c r="Y5" s="5"/>
      <c r="Z5" s="5"/>
      <c r="AA5" s="5"/>
      <c r="AB5" s="5"/>
      <c r="AC5" s="5"/>
      <c r="AD5" s="5"/>
      <c r="AE5" s="5"/>
      <c r="AF5" s="5"/>
      <c r="AG5" s="5"/>
      <c r="AH5" s="5"/>
      <c r="AI5" s="5"/>
      <c r="AJ5" s="5"/>
      <c r="AK5" s="5"/>
      <c r="AL5" s="5"/>
      <c r="AM5" s="5"/>
      <c r="AN5" s="5"/>
      <c r="AO5" s="5"/>
      <c r="AP5" s="5"/>
      <c r="AQ5" s="5"/>
      <c r="AR5" s="5"/>
      <c r="AS5" s="5"/>
      <c r="AT5" s="5"/>
      <c r="AU5" s="5"/>
      <c r="AV5" s="5"/>
    </row>
    <row r="6" spans="2:48" ht="79.5" customHeight="1">
      <c r="B6" s="59" t="s">
        <v>30</v>
      </c>
      <c r="C6" s="11" t="s">
        <v>31</v>
      </c>
      <c r="D6" s="11" t="s">
        <v>21</v>
      </c>
      <c r="E6" s="12"/>
      <c r="F6" s="11" t="s">
        <v>22</v>
      </c>
      <c r="G6" s="13" t="s">
        <v>23</v>
      </c>
      <c r="H6" s="14" t="s">
        <v>24</v>
      </c>
      <c r="I6" s="15" t="s">
        <v>25</v>
      </c>
      <c r="J6" s="11" t="s">
        <v>26</v>
      </c>
      <c r="K6" s="16">
        <f t="shared" si="0"/>
        <v>21060</v>
      </c>
      <c r="L6" s="17">
        <v>27000</v>
      </c>
      <c r="M6" s="18">
        <v>0.22</v>
      </c>
      <c r="N6" s="19" t="s">
        <v>27</v>
      </c>
      <c r="O6" s="21" t="s">
        <v>28</v>
      </c>
      <c r="P6" s="20" t="s">
        <v>29</v>
      </c>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2:48" ht="80.099999999999994" customHeight="1">
      <c r="B7" s="59" t="s">
        <v>32</v>
      </c>
      <c r="C7" s="11" t="s">
        <v>33</v>
      </c>
      <c r="D7" s="11" t="s">
        <v>21</v>
      </c>
      <c r="E7" s="12"/>
      <c r="F7" s="11" t="s">
        <v>22</v>
      </c>
      <c r="G7" s="13" t="s">
        <v>23</v>
      </c>
      <c r="H7" s="14" t="s">
        <v>24</v>
      </c>
      <c r="I7" s="15" t="s">
        <v>34</v>
      </c>
      <c r="J7" s="11" t="s">
        <v>26</v>
      </c>
      <c r="K7" s="16">
        <f t="shared" si="0"/>
        <v>19500</v>
      </c>
      <c r="L7" s="17">
        <v>25000</v>
      </c>
      <c r="M7" s="18">
        <v>0.22</v>
      </c>
      <c r="N7" s="19" t="s">
        <v>27</v>
      </c>
      <c r="O7" s="21" t="s">
        <v>28</v>
      </c>
      <c r="P7" s="20" t="s">
        <v>29</v>
      </c>
      <c r="U7" s="5"/>
      <c r="V7" s="5"/>
      <c r="W7" s="5"/>
      <c r="X7" s="5"/>
      <c r="Y7" s="5"/>
      <c r="Z7" s="5"/>
      <c r="AA7" s="5"/>
      <c r="AB7" s="5"/>
      <c r="AC7" s="5"/>
      <c r="AD7" s="5"/>
      <c r="AE7" s="5"/>
      <c r="AF7" s="5"/>
      <c r="AG7" s="5"/>
      <c r="AH7" s="5"/>
      <c r="AI7" s="5"/>
      <c r="AJ7" s="5"/>
      <c r="AK7" s="5"/>
      <c r="AL7" s="5"/>
      <c r="AM7" s="5"/>
      <c r="AN7" s="5"/>
      <c r="AO7" s="5"/>
      <c r="AP7" s="5"/>
      <c r="AQ7" s="5"/>
      <c r="AR7" s="5"/>
      <c r="AS7" s="5"/>
      <c r="AT7" s="5"/>
      <c r="AU7" s="5"/>
      <c r="AV7" s="5"/>
    </row>
    <row r="8" spans="2:48" ht="80.099999999999994" customHeight="1">
      <c r="B8" s="59" t="s">
        <v>35</v>
      </c>
      <c r="C8" s="11" t="s">
        <v>36</v>
      </c>
      <c r="D8" s="11" t="s">
        <v>21</v>
      </c>
      <c r="E8" s="12"/>
      <c r="F8" s="11" t="s">
        <v>37</v>
      </c>
      <c r="G8" s="13" t="s">
        <v>23</v>
      </c>
      <c r="H8" s="14" t="s">
        <v>24</v>
      </c>
      <c r="I8" s="15" t="s">
        <v>34</v>
      </c>
      <c r="J8" s="11" t="s">
        <v>38</v>
      </c>
      <c r="K8" s="16">
        <f t="shared" si="0"/>
        <v>17550</v>
      </c>
      <c r="L8" s="17">
        <v>22500</v>
      </c>
      <c r="M8" s="18">
        <v>0.22</v>
      </c>
      <c r="N8" s="19" t="s">
        <v>27</v>
      </c>
      <c r="O8" s="21" t="s">
        <v>39</v>
      </c>
      <c r="P8" s="20" t="s">
        <v>29</v>
      </c>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2:48" ht="80.099999999999994" customHeight="1">
      <c r="B9" s="59" t="s">
        <v>40</v>
      </c>
      <c r="C9" s="11" t="s">
        <v>41</v>
      </c>
      <c r="D9" s="11" t="s">
        <v>21</v>
      </c>
      <c r="E9" s="12"/>
      <c r="F9" s="11" t="s">
        <v>22</v>
      </c>
      <c r="G9" s="13" t="s">
        <v>23</v>
      </c>
      <c r="H9" s="14" t="s">
        <v>24</v>
      </c>
      <c r="I9" s="15" t="s">
        <v>25</v>
      </c>
      <c r="J9" s="11" t="s">
        <v>42</v>
      </c>
      <c r="K9" s="16">
        <f t="shared" si="0"/>
        <v>23790</v>
      </c>
      <c r="L9" s="17">
        <v>30500</v>
      </c>
      <c r="M9" s="18">
        <v>0.22</v>
      </c>
      <c r="N9" s="19" t="s">
        <v>27</v>
      </c>
      <c r="O9" s="21" t="s">
        <v>43</v>
      </c>
      <c r="P9" s="20" t="s">
        <v>29</v>
      </c>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2:48" ht="80.099999999999994" customHeight="1">
      <c r="B10" s="59" t="s">
        <v>44</v>
      </c>
      <c r="C10" s="11" t="s">
        <v>45</v>
      </c>
      <c r="D10" s="11" t="s">
        <v>21</v>
      </c>
      <c r="E10" s="12"/>
      <c r="F10" s="11" t="s">
        <v>37</v>
      </c>
      <c r="G10" s="13" t="s">
        <v>23</v>
      </c>
      <c r="H10" s="14" t="s">
        <v>24</v>
      </c>
      <c r="I10" s="15" t="s">
        <v>34</v>
      </c>
      <c r="J10" s="11" t="s">
        <v>26</v>
      </c>
      <c r="K10" s="16">
        <f t="shared" si="0"/>
        <v>17550</v>
      </c>
      <c r="L10" s="17">
        <v>22500</v>
      </c>
      <c r="M10" s="18">
        <v>0.22</v>
      </c>
      <c r="N10" s="19" t="s">
        <v>27</v>
      </c>
      <c r="O10" s="21" t="s">
        <v>46</v>
      </c>
      <c r="P10" s="20" t="s">
        <v>29</v>
      </c>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2:48" ht="80.099999999999994" customHeight="1">
      <c r="B11" s="59" t="s">
        <v>47</v>
      </c>
      <c r="C11" s="11" t="s">
        <v>48</v>
      </c>
      <c r="D11" s="11" t="s">
        <v>21</v>
      </c>
      <c r="E11" s="12"/>
      <c r="F11" s="11" t="s">
        <v>37</v>
      </c>
      <c r="G11" s="13" t="s">
        <v>23</v>
      </c>
      <c r="H11" s="14" t="s">
        <v>24</v>
      </c>
      <c r="I11" s="15" t="s">
        <v>25</v>
      </c>
      <c r="J11" s="11" t="s">
        <v>26</v>
      </c>
      <c r="K11" s="16">
        <f t="shared" si="0"/>
        <v>17550</v>
      </c>
      <c r="L11" s="17">
        <v>22500</v>
      </c>
      <c r="M11" s="18">
        <v>0.22</v>
      </c>
      <c r="N11" s="19" t="s">
        <v>27</v>
      </c>
      <c r="O11" s="21" t="s">
        <v>49</v>
      </c>
      <c r="P11" s="20" t="s">
        <v>29</v>
      </c>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2:48" ht="80.099999999999994" customHeight="1">
      <c r="B12" s="59" t="s">
        <v>50</v>
      </c>
      <c r="C12" s="11" t="s">
        <v>51</v>
      </c>
      <c r="D12" s="11" t="s">
        <v>21</v>
      </c>
      <c r="E12" s="12"/>
      <c r="F12" s="11" t="s">
        <v>37</v>
      </c>
      <c r="G12" s="13" t="s">
        <v>23</v>
      </c>
      <c r="H12" s="14" t="s">
        <v>24</v>
      </c>
      <c r="I12" s="15" t="s">
        <v>52</v>
      </c>
      <c r="J12" s="11" t="s">
        <v>26</v>
      </c>
      <c r="K12" s="16">
        <f t="shared" si="0"/>
        <v>8814</v>
      </c>
      <c r="L12" s="17">
        <v>11300</v>
      </c>
      <c r="M12" s="18">
        <v>0.22</v>
      </c>
      <c r="N12" s="19" t="s">
        <v>27</v>
      </c>
      <c r="O12" s="21" t="s">
        <v>53</v>
      </c>
      <c r="P12" s="20" t="s">
        <v>29</v>
      </c>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2:48" ht="80.099999999999994" customHeight="1">
      <c r="B13" s="59" t="s">
        <v>54</v>
      </c>
      <c r="C13" s="11" t="s">
        <v>55</v>
      </c>
      <c r="D13" s="11" t="s">
        <v>21</v>
      </c>
      <c r="E13" s="12"/>
      <c r="F13" s="11" t="s">
        <v>22</v>
      </c>
      <c r="G13" s="13" t="s">
        <v>23</v>
      </c>
      <c r="H13" s="14" t="s">
        <v>24</v>
      </c>
      <c r="I13" s="15" t="s">
        <v>52</v>
      </c>
      <c r="J13" s="11" t="s">
        <v>26</v>
      </c>
      <c r="K13" s="16">
        <f t="shared" si="0"/>
        <v>6942</v>
      </c>
      <c r="L13" s="17">
        <v>8900</v>
      </c>
      <c r="M13" s="18">
        <v>0.22</v>
      </c>
      <c r="N13" s="19" t="s">
        <v>27</v>
      </c>
      <c r="O13" s="21" t="s">
        <v>56</v>
      </c>
      <c r="P13" s="20" t="s">
        <v>29</v>
      </c>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2:48" ht="80.099999999999994" customHeight="1">
      <c r="B14" s="59" t="s">
        <v>57</v>
      </c>
      <c r="C14" s="11" t="s">
        <v>58</v>
      </c>
      <c r="D14" s="11" t="s">
        <v>21</v>
      </c>
      <c r="E14" s="12"/>
      <c r="F14" s="11" t="s">
        <v>22</v>
      </c>
      <c r="G14" s="13" t="s">
        <v>23</v>
      </c>
      <c r="H14" s="14" t="s">
        <v>24</v>
      </c>
      <c r="I14" s="15" t="s">
        <v>34</v>
      </c>
      <c r="J14" s="11" t="s">
        <v>26</v>
      </c>
      <c r="K14" s="16">
        <f t="shared" si="0"/>
        <v>15210</v>
      </c>
      <c r="L14" s="17">
        <v>19500</v>
      </c>
      <c r="M14" s="18">
        <v>0.22</v>
      </c>
      <c r="N14" s="19" t="s">
        <v>27</v>
      </c>
      <c r="O14" s="21" t="s">
        <v>59</v>
      </c>
      <c r="P14" s="20" t="s">
        <v>29</v>
      </c>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2:48" ht="80.099999999999994" customHeight="1">
      <c r="B15" s="59" t="s">
        <v>60</v>
      </c>
      <c r="C15" s="11" t="s">
        <v>61</v>
      </c>
      <c r="D15" s="11" t="s">
        <v>21</v>
      </c>
      <c r="E15" s="12"/>
      <c r="F15" s="11" t="s">
        <v>22</v>
      </c>
      <c r="G15" s="13" t="s">
        <v>23</v>
      </c>
      <c r="H15" s="14" t="s">
        <v>24</v>
      </c>
      <c r="I15" s="15" t="s">
        <v>62</v>
      </c>
      <c r="J15" s="11" t="s">
        <v>42</v>
      </c>
      <c r="K15" s="16">
        <f t="shared" si="0"/>
        <v>9516</v>
      </c>
      <c r="L15" s="17">
        <v>12200</v>
      </c>
      <c r="M15" s="18">
        <v>0.22</v>
      </c>
      <c r="N15" s="19" t="s">
        <v>27</v>
      </c>
      <c r="O15" s="21" t="s">
        <v>63</v>
      </c>
      <c r="P15" s="20" t="s">
        <v>29</v>
      </c>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2:48" ht="80.099999999999994" customHeight="1">
      <c r="B16" s="59" t="s">
        <v>64</v>
      </c>
      <c r="C16" s="11" t="s">
        <v>65</v>
      </c>
      <c r="D16" s="11" t="s">
        <v>21</v>
      </c>
      <c r="E16" s="12"/>
      <c r="F16" s="11" t="s">
        <v>22</v>
      </c>
      <c r="G16" s="13" t="s">
        <v>23</v>
      </c>
      <c r="H16" s="14" t="s">
        <v>24</v>
      </c>
      <c r="I16" s="15" t="s">
        <v>25</v>
      </c>
      <c r="J16" s="11" t="s">
        <v>66</v>
      </c>
      <c r="K16" s="16">
        <f t="shared" si="0"/>
        <v>14664</v>
      </c>
      <c r="L16" s="17">
        <v>18800</v>
      </c>
      <c r="M16" s="18">
        <v>0.22</v>
      </c>
      <c r="N16" s="19" t="s">
        <v>27</v>
      </c>
      <c r="O16" s="21" t="s">
        <v>67</v>
      </c>
      <c r="P16" s="20" t="s">
        <v>29</v>
      </c>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2:48" ht="80.099999999999994" customHeight="1">
      <c r="B17" s="59" t="s">
        <v>68</v>
      </c>
      <c r="C17" s="11" t="s">
        <v>69</v>
      </c>
      <c r="D17" s="11" t="s">
        <v>21</v>
      </c>
      <c r="E17" s="12"/>
      <c r="F17" s="11" t="s">
        <v>22</v>
      </c>
      <c r="G17" s="13" t="s">
        <v>23</v>
      </c>
      <c r="H17" s="14" t="s">
        <v>24</v>
      </c>
      <c r="I17" s="15" t="s">
        <v>25</v>
      </c>
      <c r="J17" s="11" t="s">
        <v>26</v>
      </c>
      <c r="K17" s="16">
        <f t="shared" si="0"/>
        <v>15990</v>
      </c>
      <c r="L17" s="17">
        <v>20500</v>
      </c>
      <c r="M17" s="18">
        <v>0.22</v>
      </c>
      <c r="N17" s="19" t="s">
        <v>27</v>
      </c>
      <c r="O17" s="21" t="s">
        <v>70</v>
      </c>
      <c r="P17" s="20" t="s">
        <v>29</v>
      </c>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2:48" ht="80.099999999999994" customHeight="1">
      <c r="B18" s="59" t="s">
        <v>71</v>
      </c>
      <c r="C18" s="11" t="s">
        <v>72</v>
      </c>
      <c r="D18" s="11" t="s">
        <v>21</v>
      </c>
      <c r="E18" s="12"/>
      <c r="F18" s="11" t="s">
        <v>22</v>
      </c>
      <c r="G18" s="13" t="s">
        <v>23</v>
      </c>
      <c r="H18" s="14" t="s">
        <v>24</v>
      </c>
      <c r="I18" s="15" t="s">
        <v>25</v>
      </c>
      <c r="J18" s="11" t="s">
        <v>26</v>
      </c>
      <c r="K18" s="16">
        <f t="shared" si="0"/>
        <v>18330</v>
      </c>
      <c r="L18" s="17">
        <v>23500</v>
      </c>
      <c r="M18" s="18">
        <v>0.22</v>
      </c>
      <c r="N18" s="19" t="s">
        <v>27</v>
      </c>
      <c r="O18" s="21" t="s">
        <v>73</v>
      </c>
      <c r="P18" s="20" t="s">
        <v>29</v>
      </c>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2:48" ht="80.099999999999994" customHeight="1">
      <c r="B19" s="59" t="s">
        <v>74</v>
      </c>
      <c r="C19" s="11" t="s">
        <v>75</v>
      </c>
      <c r="D19" s="11" t="s">
        <v>76</v>
      </c>
      <c r="E19" s="12"/>
      <c r="F19" s="11" t="s">
        <v>22</v>
      </c>
      <c r="G19" s="13" t="s">
        <v>23</v>
      </c>
      <c r="H19" s="14" t="s">
        <v>77</v>
      </c>
      <c r="I19" s="15" t="s">
        <v>78</v>
      </c>
      <c r="J19" s="11" t="s">
        <v>26</v>
      </c>
      <c r="K19" s="16">
        <f t="shared" si="0"/>
        <v>6084</v>
      </c>
      <c r="L19" s="17">
        <v>7800</v>
      </c>
      <c r="M19" s="18">
        <v>0.22</v>
      </c>
      <c r="N19" s="19" t="s">
        <v>27</v>
      </c>
      <c r="O19" s="21" t="s">
        <v>79</v>
      </c>
      <c r="P19" s="20" t="s">
        <v>29</v>
      </c>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2:48" ht="80.099999999999994" customHeight="1">
      <c r="B20" s="59" t="s">
        <v>80</v>
      </c>
      <c r="C20" s="11" t="s">
        <v>81</v>
      </c>
      <c r="D20" s="11" t="s">
        <v>76</v>
      </c>
      <c r="E20" s="12"/>
      <c r="F20" s="11" t="s">
        <v>22</v>
      </c>
      <c r="G20" s="13" t="s">
        <v>23</v>
      </c>
      <c r="H20" s="14" t="s">
        <v>77</v>
      </c>
      <c r="I20" s="15" t="s">
        <v>82</v>
      </c>
      <c r="J20" s="11" t="s">
        <v>83</v>
      </c>
      <c r="K20" s="16">
        <f t="shared" si="0"/>
        <v>8970</v>
      </c>
      <c r="L20" s="17">
        <v>11500</v>
      </c>
      <c r="M20" s="18">
        <v>0.22</v>
      </c>
      <c r="N20" s="19" t="s">
        <v>27</v>
      </c>
      <c r="O20" s="21" t="s">
        <v>84</v>
      </c>
      <c r="P20" s="20" t="s">
        <v>29</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2:48" ht="80.099999999999994" customHeight="1">
      <c r="B21" s="59" t="s">
        <v>85</v>
      </c>
      <c r="C21" s="11" t="s">
        <v>86</v>
      </c>
      <c r="D21" s="11" t="s">
        <v>76</v>
      </c>
      <c r="E21" s="12"/>
      <c r="F21" s="11" t="s">
        <v>22</v>
      </c>
      <c r="G21" s="13" t="s">
        <v>23</v>
      </c>
      <c r="H21" s="14" t="s">
        <v>77</v>
      </c>
      <c r="I21" s="15" t="s">
        <v>87</v>
      </c>
      <c r="J21" s="11" t="s">
        <v>26</v>
      </c>
      <c r="K21" s="16">
        <f t="shared" si="0"/>
        <v>7410</v>
      </c>
      <c r="L21" s="17">
        <v>9500</v>
      </c>
      <c r="M21" s="18">
        <v>0.22</v>
      </c>
      <c r="N21" s="19" t="s">
        <v>27</v>
      </c>
      <c r="O21" s="21" t="s">
        <v>88</v>
      </c>
      <c r="P21" s="20" t="s">
        <v>29</v>
      </c>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2:48" ht="80.099999999999994" customHeight="1">
      <c r="B22" s="59" t="s">
        <v>89</v>
      </c>
      <c r="C22" s="11" t="s">
        <v>90</v>
      </c>
      <c r="D22" s="11" t="s">
        <v>76</v>
      </c>
      <c r="E22" s="12"/>
      <c r="F22" s="11" t="s">
        <v>22</v>
      </c>
      <c r="G22" s="13" t="s">
        <v>23</v>
      </c>
      <c r="H22" s="14" t="s">
        <v>77</v>
      </c>
      <c r="I22" s="15" t="s">
        <v>87</v>
      </c>
      <c r="J22" s="11" t="s">
        <v>83</v>
      </c>
      <c r="K22" s="16">
        <f t="shared" si="0"/>
        <v>9750</v>
      </c>
      <c r="L22" s="17">
        <v>12500</v>
      </c>
      <c r="M22" s="18">
        <v>0.22</v>
      </c>
      <c r="N22" s="19" t="s">
        <v>27</v>
      </c>
      <c r="O22" s="21" t="s">
        <v>91</v>
      </c>
      <c r="P22" s="20" t="s">
        <v>29</v>
      </c>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2:48" ht="80.099999999999994" customHeight="1">
      <c r="B23" s="59" t="s">
        <v>92</v>
      </c>
      <c r="C23" s="11" t="s">
        <v>93</v>
      </c>
      <c r="D23" s="11" t="s">
        <v>76</v>
      </c>
      <c r="E23" s="12"/>
      <c r="F23" s="11" t="s">
        <v>22</v>
      </c>
      <c r="G23" s="13" t="s">
        <v>23</v>
      </c>
      <c r="H23" s="14" t="s">
        <v>77</v>
      </c>
      <c r="I23" s="15" t="s">
        <v>87</v>
      </c>
      <c r="J23" s="11" t="s">
        <v>83</v>
      </c>
      <c r="K23" s="16">
        <f t="shared" si="0"/>
        <v>9126</v>
      </c>
      <c r="L23" s="17">
        <v>11700</v>
      </c>
      <c r="M23" s="18">
        <v>0.22</v>
      </c>
      <c r="N23" s="19" t="s">
        <v>27</v>
      </c>
      <c r="O23" s="21" t="s">
        <v>94</v>
      </c>
      <c r="P23" s="20" t="s">
        <v>29</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2:48" ht="80.099999999999994" customHeight="1">
      <c r="B24" s="59" t="s">
        <v>95</v>
      </c>
      <c r="C24" s="11" t="s">
        <v>96</v>
      </c>
      <c r="D24" s="11" t="s">
        <v>76</v>
      </c>
      <c r="E24" s="12"/>
      <c r="F24" s="11" t="s">
        <v>37</v>
      </c>
      <c r="G24" s="13" t="s">
        <v>23</v>
      </c>
      <c r="H24" s="14" t="s">
        <v>77</v>
      </c>
      <c r="I24" s="15" t="s">
        <v>97</v>
      </c>
      <c r="J24" s="11" t="s">
        <v>26</v>
      </c>
      <c r="K24" s="16">
        <f t="shared" si="0"/>
        <v>9750</v>
      </c>
      <c r="L24" s="17">
        <v>12500</v>
      </c>
      <c r="M24" s="18">
        <v>0.22</v>
      </c>
      <c r="N24" s="19" t="s">
        <v>27</v>
      </c>
      <c r="O24" s="21" t="s">
        <v>98</v>
      </c>
      <c r="P24" s="20" t="s">
        <v>29</v>
      </c>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2:48" ht="80.099999999999994" customHeight="1">
      <c r="B25" s="59" t="s">
        <v>99</v>
      </c>
      <c r="C25" s="11" t="s">
        <v>100</v>
      </c>
      <c r="D25" s="11" t="s">
        <v>76</v>
      </c>
      <c r="E25" s="12"/>
      <c r="F25" s="11" t="s">
        <v>22</v>
      </c>
      <c r="G25" s="13" t="s">
        <v>23</v>
      </c>
      <c r="H25" s="14" t="s">
        <v>77</v>
      </c>
      <c r="I25" s="15" t="s">
        <v>87</v>
      </c>
      <c r="J25" s="11" t="s">
        <v>26</v>
      </c>
      <c r="K25" s="16">
        <f t="shared" si="0"/>
        <v>8346</v>
      </c>
      <c r="L25" s="17">
        <v>10700</v>
      </c>
      <c r="M25" s="18">
        <v>0.22</v>
      </c>
      <c r="N25" s="19" t="s">
        <v>27</v>
      </c>
      <c r="O25" s="21" t="s">
        <v>101</v>
      </c>
      <c r="P25" s="20" t="s">
        <v>29</v>
      </c>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2:48" ht="80.099999999999994" customHeight="1">
      <c r="B26" s="59" t="s">
        <v>102</v>
      </c>
      <c r="C26" s="11" t="s">
        <v>103</v>
      </c>
      <c r="D26" s="11" t="s">
        <v>76</v>
      </c>
      <c r="E26" s="12"/>
      <c r="F26" s="11" t="s">
        <v>22</v>
      </c>
      <c r="G26" s="13" t="s">
        <v>23</v>
      </c>
      <c r="H26" s="14" t="s">
        <v>77</v>
      </c>
      <c r="I26" s="15" t="s">
        <v>104</v>
      </c>
      <c r="J26" s="11" t="s">
        <v>26</v>
      </c>
      <c r="K26" s="16">
        <f t="shared" si="0"/>
        <v>10530</v>
      </c>
      <c r="L26" s="17">
        <v>13500</v>
      </c>
      <c r="M26" s="18">
        <v>0.22</v>
      </c>
      <c r="N26" s="19" t="s">
        <v>27</v>
      </c>
      <c r="O26" s="21" t="s">
        <v>105</v>
      </c>
      <c r="P26" s="20" t="s">
        <v>29</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2:48" ht="80.099999999999994" customHeight="1">
      <c r="B27" s="59" t="s">
        <v>106</v>
      </c>
      <c r="C27" s="11" t="s">
        <v>107</v>
      </c>
      <c r="D27" s="11" t="s">
        <v>76</v>
      </c>
      <c r="E27" s="12"/>
      <c r="F27" s="11" t="s">
        <v>22</v>
      </c>
      <c r="G27" s="13" t="s">
        <v>23</v>
      </c>
      <c r="H27" s="14" t="s">
        <v>77</v>
      </c>
      <c r="I27" s="15" t="s">
        <v>108</v>
      </c>
      <c r="J27" s="11" t="s">
        <v>26</v>
      </c>
      <c r="K27" s="16">
        <f t="shared" si="0"/>
        <v>5382</v>
      </c>
      <c r="L27" s="17">
        <v>6900</v>
      </c>
      <c r="M27" s="18">
        <v>0.22</v>
      </c>
      <c r="N27" s="19" t="s">
        <v>27</v>
      </c>
      <c r="O27" s="21" t="s">
        <v>109</v>
      </c>
      <c r="P27" s="20" t="s">
        <v>29</v>
      </c>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2:48" ht="80.099999999999994" customHeight="1">
      <c r="B28" s="59" t="s">
        <v>110</v>
      </c>
      <c r="C28" s="11" t="s">
        <v>111</v>
      </c>
      <c r="D28" s="11" t="s">
        <v>76</v>
      </c>
      <c r="E28" s="12"/>
      <c r="F28" s="11" t="s">
        <v>22</v>
      </c>
      <c r="G28" s="13" t="s">
        <v>23</v>
      </c>
      <c r="H28" s="14" t="s">
        <v>77</v>
      </c>
      <c r="I28" s="15" t="s">
        <v>112</v>
      </c>
      <c r="J28" s="11" t="s">
        <v>113</v>
      </c>
      <c r="K28" s="16">
        <f t="shared" si="0"/>
        <v>5148</v>
      </c>
      <c r="L28" s="17">
        <v>6600</v>
      </c>
      <c r="M28" s="18">
        <v>0.22</v>
      </c>
      <c r="N28" s="19" t="s">
        <v>27</v>
      </c>
      <c r="O28" s="21" t="s">
        <v>114</v>
      </c>
      <c r="P28" s="20" t="s">
        <v>29</v>
      </c>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2:48" ht="80.099999999999994" customHeight="1">
      <c r="B29" s="59" t="s">
        <v>115</v>
      </c>
      <c r="C29" s="11" t="s">
        <v>116</v>
      </c>
      <c r="D29" s="11" t="s">
        <v>76</v>
      </c>
      <c r="E29" s="12"/>
      <c r="F29" s="11" t="s">
        <v>22</v>
      </c>
      <c r="G29" s="13" t="s">
        <v>23</v>
      </c>
      <c r="H29" s="14" t="s">
        <v>77</v>
      </c>
      <c r="I29" s="15" t="s">
        <v>52</v>
      </c>
      <c r="J29" s="11" t="s">
        <v>117</v>
      </c>
      <c r="K29" s="16">
        <f t="shared" si="0"/>
        <v>11310</v>
      </c>
      <c r="L29" s="17">
        <v>14500</v>
      </c>
      <c r="M29" s="18">
        <v>0.22</v>
      </c>
      <c r="N29" s="19" t="s">
        <v>27</v>
      </c>
      <c r="O29" s="21" t="s">
        <v>118</v>
      </c>
      <c r="P29" s="20" t="s">
        <v>29</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2:48" ht="80.099999999999994" customHeight="1">
      <c r="B30" s="59" t="s">
        <v>119</v>
      </c>
      <c r="C30" s="11" t="s">
        <v>120</v>
      </c>
      <c r="D30" s="11" t="s">
        <v>76</v>
      </c>
      <c r="E30" s="12"/>
      <c r="F30" s="11" t="s">
        <v>22</v>
      </c>
      <c r="G30" s="13" t="s">
        <v>23</v>
      </c>
      <c r="H30" s="14" t="s">
        <v>77</v>
      </c>
      <c r="I30" s="15" t="s">
        <v>121</v>
      </c>
      <c r="J30" s="11" t="s">
        <v>26</v>
      </c>
      <c r="K30" s="16">
        <f t="shared" si="0"/>
        <v>4680</v>
      </c>
      <c r="L30" s="17">
        <v>6000</v>
      </c>
      <c r="M30" s="18">
        <v>0.22</v>
      </c>
      <c r="N30" s="19" t="s">
        <v>27</v>
      </c>
      <c r="O30" s="21" t="s">
        <v>122</v>
      </c>
      <c r="P30" s="20" t="s">
        <v>29</v>
      </c>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2:48" ht="80.099999999999994" customHeight="1">
      <c r="B31" s="59" t="s">
        <v>123</v>
      </c>
      <c r="C31" s="11" t="s">
        <v>124</v>
      </c>
      <c r="D31" s="11" t="s">
        <v>76</v>
      </c>
      <c r="E31" s="12"/>
      <c r="F31" s="11" t="s">
        <v>22</v>
      </c>
      <c r="G31" s="13" t="s">
        <v>23</v>
      </c>
      <c r="H31" s="14" t="s">
        <v>77</v>
      </c>
      <c r="I31" s="15" t="s">
        <v>125</v>
      </c>
      <c r="J31" s="11" t="s">
        <v>126</v>
      </c>
      <c r="K31" s="16">
        <f t="shared" si="0"/>
        <v>11466</v>
      </c>
      <c r="L31" s="17">
        <v>14700</v>
      </c>
      <c r="M31" s="18">
        <v>0.22</v>
      </c>
      <c r="N31" s="19" t="s">
        <v>27</v>
      </c>
      <c r="O31" s="21" t="s">
        <v>127</v>
      </c>
      <c r="P31" s="20" t="s">
        <v>29</v>
      </c>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2:48" ht="80.099999999999994" customHeight="1">
      <c r="B32" s="59" t="s">
        <v>128</v>
      </c>
      <c r="C32" s="11" t="s">
        <v>129</v>
      </c>
      <c r="D32" s="11" t="s">
        <v>76</v>
      </c>
      <c r="E32" s="11"/>
      <c r="F32" s="11" t="s">
        <v>22</v>
      </c>
      <c r="G32" s="13" t="s">
        <v>23</v>
      </c>
      <c r="H32" s="14" t="s">
        <v>77</v>
      </c>
      <c r="I32" s="15" t="s">
        <v>121</v>
      </c>
      <c r="J32" s="11" t="s">
        <v>83</v>
      </c>
      <c r="K32" s="16">
        <f t="shared" si="0"/>
        <v>8814</v>
      </c>
      <c r="L32" s="17">
        <v>11300</v>
      </c>
      <c r="M32" s="18">
        <v>0.22</v>
      </c>
      <c r="N32" s="19" t="s">
        <v>27</v>
      </c>
      <c r="O32" s="21" t="s">
        <v>130</v>
      </c>
      <c r="P32" s="20" t="s">
        <v>29</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2:48" ht="50.1" customHeight="1">
      <c r="B33" s="63" t="s">
        <v>131</v>
      </c>
      <c r="C33" s="64"/>
      <c r="D33" s="64"/>
      <c r="E33" s="64"/>
      <c r="F33" s="64"/>
      <c r="G33" s="64"/>
      <c r="H33" s="64"/>
      <c r="I33" s="64"/>
      <c r="J33" s="64"/>
      <c r="K33" s="64"/>
      <c r="L33" s="64"/>
      <c r="M33" s="65"/>
      <c r="N33" s="19" t="s">
        <v>27</v>
      </c>
      <c r="O33" s="21" t="s">
        <v>132</v>
      </c>
      <c r="P33" s="20" t="s">
        <v>29</v>
      </c>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2:48" ht="80.099999999999994" customHeight="1">
      <c r="B34" s="10">
        <v>29</v>
      </c>
      <c r="C34" s="11" t="s">
        <v>133</v>
      </c>
      <c r="D34" s="11" t="s">
        <v>134</v>
      </c>
      <c r="E34" s="12"/>
      <c r="F34" s="11" t="s">
        <v>22</v>
      </c>
      <c r="G34" s="13" t="s">
        <v>23</v>
      </c>
      <c r="H34" s="14" t="s">
        <v>135</v>
      </c>
      <c r="I34" s="15" t="s">
        <v>136</v>
      </c>
      <c r="J34" s="11" t="s">
        <v>137</v>
      </c>
      <c r="K34" s="16">
        <f t="shared" ref="K34:K40" si="1">L34*(1-0.22)</f>
        <v>4992</v>
      </c>
      <c r="L34" s="17">
        <v>6400</v>
      </c>
      <c r="M34" s="18">
        <v>0.22</v>
      </c>
      <c r="N34" s="19" t="s">
        <v>27</v>
      </c>
      <c r="O34" s="21" t="s">
        <v>138</v>
      </c>
      <c r="P34" s="20" t="s">
        <v>29</v>
      </c>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2:48" ht="80.099999999999994" customHeight="1">
      <c r="B35" s="10">
        <v>30</v>
      </c>
      <c r="C35" s="11" t="s">
        <v>139</v>
      </c>
      <c r="D35" s="11" t="s">
        <v>134</v>
      </c>
      <c r="E35" s="12"/>
      <c r="F35" s="11" t="s">
        <v>22</v>
      </c>
      <c r="G35" s="13" t="s">
        <v>23</v>
      </c>
      <c r="H35" s="14" t="s">
        <v>135</v>
      </c>
      <c r="I35" s="15" t="s">
        <v>140</v>
      </c>
      <c r="J35" s="11" t="s">
        <v>141</v>
      </c>
      <c r="K35" s="16">
        <f t="shared" si="1"/>
        <v>4836</v>
      </c>
      <c r="L35" s="17">
        <v>6200</v>
      </c>
      <c r="M35" s="18">
        <v>0.22</v>
      </c>
      <c r="N35" s="19" t="s">
        <v>27</v>
      </c>
      <c r="O35" s="21" t="s">
        <v>142</v>
      </c>
      <c r="P35" s="20" t="s">
        <v>29</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2:48" ht="80.099999999999994" customHeight="1">
      <c r="B36" s="10">
        <v>31</v>
      </c>
      <c r="C36" s="11" t="s">
        <v>143</v>
      </c>
      <c r="D36" s="11" t="s">
        <v>134</v>
      </c>
      <c r="E36" s="12"/>
      <c r="F36" s="11" t="s">
        <v>22</v>
      </c>
      <c r="G36" s="13" t="s">
        <v>23</v>
      </c>
      <c r="H36" s="14" t="s">
        <v>135</v>
      </c>
      <c r="I36" s="15" t="s">
        <v>140</v>
      </c>
      <c r="J36" s="11" t="s">
        <v>83</v>
      </c>
      <c r="K36" s="16">
        <f t="shared" si="1"/>
        <v>4446</v>
      </c>
      <c r="L36" s="17">
        <v>5700</v>
      </c>
      <c r="M36" s="18">
        <v>0.22</v>
      </c>
      <c r="N36" s="19" t="s">
        <v>27</v>
      </c>
      <c r="O36" s="21" t="s">
        <v>144</v>
      </c>
      <c r="P36" s="20" t="s">
        <v>29</v>
      </c>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2:48" ht="80.099999999999994" customHeight="1">
      <c r="B37" s="10">
        <v>32</v>
      </c>
      <c r="C37" s="11" t="s">
        <v>145</v>
      </c>
      <c r="D37" s="11" t="s">
        <v>134</v>
      </c>
      <c r="E37" s="12"/>
      <c r="F37" s="11" t="s">
        <v>22</v>
      </c>
      <c r="G37" s="13" t="s">
        <v>23</v>
      </c>
      <c r="H37" s="14" t="s">
        <v>135</v>
      </c>
      <c r="I37" s="15" t="s">
        <v>146</v>
      </c>
      <c r="J37" s="11" t="s">
        <v>83</v>
      </c>
      <c r="K37" s="16">
        <f t="shared" si="1"/>
        <v>4212</v>
      </c>
      <c r="L37" s="17">
        <v>5400</v>
      </c>
      <c r="M37" s="18">
        <v>0.22</v>
      </c>
      <c r="N37" s="19" t="s">
        <v>27</v>
      </c>
      <c r="O37" s="21" t="s">
        <v>147</v>
      </c>
      <c r="P37" s="20" t="s">
        <v>29</v>
      </c>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2:48" ht="80.099999999999994" customHeight="1">
      <c r="B38" s="10">
        <v>33</v>
      </c>
      <c r="C38" s="11" t="s">
        <v>148</v>
      </c>
      <c r="D38" s="11" t="s">
        <v>149</v>
      </c>
      <c r="E38" s="12"/>
      <c r="F38" s="11" t="s">
        <v>22</v>
      </c>
      <c r="G38" s="13" t="s">
        <v>23</v>
      </c>
      <c r="H38" s="14" t="s">
        <v>135</v>
      </c>
      <c r="I38" s="15" t="s">
        <v>150</v>
      </c>
      <c r="J38" s="11" t="s">
        <v>151</v>
      </c>
      <c r="K38" s="16">
        <f t="shared" si="1"/>
        <v>3354</v>
      </c>
      <c r="L38" s="17">
        <v>4300</v>
      </c>
      <c r="M38" s="18">
        <v>0.22</v>
      </c>
      <c r="N38" s="19" t="s">
        <v>27</v>
      </c>
      <c r="O38" s="21" t="s">
        <v>152</v>
      </c>
      <c r="P38" s="20" t="s">
        <v>29</v>
      </c>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2:48" ht="80.099999999999994" customHeight="1">
      <c r="B39" s="10">
        <v>34</v>
      </c>
      <c r="C39" s="11" t="s">
        <v>153</v>
      </c>
      <c r="D39" s="11" t="s">
        <v>149</v>
      </c>
      <c r="E39" s="12"/>
      <c r="F39" s="11" t="s">
        <v>22</v>
      </c>
      <c r="G39" s="13" t="s">
        <v>23</v>
      </c>
      <c r="H39" s="14" t="s">
        <v>135</v>
      </c>
      <c r="I39" s="15" t="s">
        <v>154</v>
      </c>
      <c r="J39" s="11" t="s">
        <v>83</v>
      </c>
      <c r="K39" s="16">
        <f t="shared" si="1"/>
        <v>2496</v>
      </c>
      <c r="L39" s="17">
        <v>3200</v>
      </c>
      <c r="M39" s="18">
        <v>0.22</v>
      </c>
      <c r="N39" s="19" t="s">
        <v>27</v>
      </c>
      <c r="O39" s="21" t="s">
        <v>155</v>
      </c>
      <c r="P39" s="20" t="s">
        <v>29</v>
      </c>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2:48" ht="80.099999999999994" customHeight="1">
      <c r="B40" s="10">
        <v>35</v>
      </c>
      <c r="C40" s="11" t="s">
        <v>156</v>
      </c>
      <c r="D40" s="11" t="s">
        <v>149</v>
      </c>
      <c r="E40" s="12"/>
      <c r="F40" s="11" t="s">
        <v>22</v>
      </c>
      <c r="G40" s="13" t="s">
        <v>23</v>
      </c>
      <c r="H40" s="14" t="s">
        <v>135</v>
      </c>
      <c r="I40" s="15" t="s">
        <v>157</v>
      </c>
      <c r="J40" s="11" t="s">
        <v>158</v>
      </c>
      <c r="K40" s="16">
        <f t="shared" si="1"/>
        <v>1794</v>
      </c>
      <c r="L40" s="17">
        <v>2300</v>
      </c>
      <c r="M40" s="18">
        <v>0.22</v>
      </c>
      <c r="N40" s="19" t="s">
        <v>27</v>
      </c>
      <c r="O40" s="21" t="s">
        <v>159</v>
      </c>
      <c r="P40" s="20" t="s">
        <v>29</v>
      </c>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2:48" ht="50.1" customHeight="1">
      <c r="B41" s="63" t="s">
        <v>160</v>
      </c>
      <c r="C41" s="64"/>
      <c r="D41" s="64"/>
      <c r="E41" s="64"/>
      <c r="F41" s="64"/>
      <c r="G41" s="64"/>
      <c r="H41" s="64"/>
      <c r="I41" s="64"/>
      <c r="J41" s="64"/>
      <c r="K41" s="64"/>
      <c r="L41" s="64"/>
      <c r="M41" s="65"/>
      <c r="N41" s="19" t="s">
        <v>27</v>
      </c>
      <c r="O41" s="21" t="s">
        <v>161</v>
      </c>
      <c r="P41" s="20" t="s">
        <v>29</v>
      </c>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2:48" ht="80.099999999999994" customHeight="1">
      <c r="B42" s="10">
        <v>36</v>
      </c>
      <c r="C42" s="11" t="s">
        <v>162</v>
      </c>
      <c r="D42" s="11" t="s">
        <v>163</v>
      </c>
      <c r="E42" s="11"/>
      <c r="F42" s="11" t="s">
        <v>22</v>
      </c>
      <c r="G42" s="13" t="s">
        <v>23</v>
      </c>
      <c r="H42" s="22" t="s">
        <v>164</v>
      </c>
      <c r="I42" s="11" t="s">
        <v>165</v>
      </c>
      <c r="J42" s="11" t="s">
        <v>166</v>
      </c>
      <c r="K42" s="16">
        <f t="shared" ref="K42:K47" si="2">L42*(1-0.22)</f>
        <v>6864</v>
      </c>
      <c r="L42" s="17">
        <v>8800</v>
      </c>
      <c r="M42" s="18">
        <v>0.22</v>
      </c>
      <c r="N42" s="19" t="s">
        <v>27</v>
      </c>
      <c r="O42" s="21" t="s">
        <v>167</v>
      </c>
      <c r="P42" s="20" t="s">
        <v>29</v>
      </c>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2:48" ht="80.099999999999994" customHeight="1">
      <c r="B43" s="10">
        <v>37</v>
      </c>
      <c r="C43" s="11" t="s">
        <v>168</v>
      </c>
      <c r="D43" s="11" t="s">
        <v>163</v>
      </c>
      <c r="E43" s="12"/>
      <c r="F43" s="11" t="s">
        <v>22</v>
      </c>
      <c r="G43" s="13" t="s">
        <v>23</v>
      </c>
      <c r="H43" s="22" t="s">
        <v>164</v>
      </c>
      <c r="I43" s="11" t="s">
        <v>169</v>
      </c>
      <c r="J43" s="11" t="s">
        <v>170</v>
      </c>
      <c r="K43" s="16">
        <f t="shared" si="2"/>
        <v>3900</v>
      </c>
      <c r="L43" s="17">
        <v>5000</v>
      </c>
      <c r="M43" s="18">
        <v>0.22</v>
      </c>
      <c r="N43" s="19" t="s">
        <v>27</v>
      </c>
      <c r="O43" s="21" t="s">
        <v>171</v>
      </c>
      <c r="P43" s="20" t="s">
        <v>29</v>
      </c>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2:48" ht="80.099999999999994" customHeight="1">
      <c r="B44" s="10">
        <v>38</v>
      </c>
      <c r="C44" s="11" t="s">
        <v>172</v>
      </c>
      <c r="D44" s="11" t="s">
        <v>163</v>
      </c>
      <c r="E44" s="12"/>
      <c r="F44" s="11" t="s">
        <v>22</v>
      </c>
      <c r="G44" s="13" t="s">
        <v>23</v>
      </c>
      <c r="H44" s="22" t="s">
        <v>164</v>
      </c>
      <c r="I44" s="11" t="s">
        <v>173</v>
      </c>
      <c r="J44" s="11" t="s">
        <v>174</v>
      </c>
      <c r="K44" s="16">
        <f t="shared" si="2"/>
        <v>6318</v>
      </c>
      <c r="L44" s="17">
        <v>8100</v>
      </c>
      <c r="M44" s="18">
        <v>0.22</v>
      </c>
      <c r="N44" s="19" t="s">
        <v>27</v>
      </c>
      <c r="O44" s="21" t="s">
        <v>175</v>
      </c>
      <c r="P44" s="20" t="s">
        <v>29</v>
      </c>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2:48" ht="80.099999999999994" customHeight="1">
      <c r="B45" s="10">
        <v>39</v>
      </c>
      <c r="C45" s="11" t="s">
        <v>176</v>
      </c>
      <c r="D45" s="11" t="s">
        <v>163</v>
      </c>
      <c r="E45" s="12"/>
      <c r="F45" s="11" t="s">
        <v>22</v>
      </c>
      <c r="G45" s="13" t="s">
        <v>23</v>
      </c>
      <c r="H45" s="22" t="s">
        <v>164</v>
      </c>
      <c r="I45" s="11" t="s">
        <v>165</v>
      </c>
      <c r="J45" s="11" t="s">
        <v>26</v>
      </c>
      <c r="K45" s="16">
        <f t="shared" si="2"/>
        <v>6630</v>
      </c>
      <c r="L45" s="17">
        <v>8500</v>
      </c>
      <c r="M45" s="18">
        <v>0.22</v>
      </c>
      <c r="N45" s="19" t="s">
        <v>27</v>
      </c>
      <c r="O45" s="21" t="s">
        <v>177</v>
      </c>
      <c r="P45" s="20" t="s">
        <v>29</v>
      </c>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2:48" ht="80.099999999999994" customHeight="1">
      <c r="B46" s="10">
        <v>40</v>
      </c>
      <c r="C46" s="11" t="s">
        <v>178</v>
      </c>
      <c r="D46" s="11" t="s">
        <v>163</v>
      </c>
      <c r="E46" s="12"/>
      <c r="F46" s="11" t="s">
        <v>22</v>
      </c>
      <c r="G46" s="13" t="s">
        <v>23</v>
      </c>
      <c r="H46" s="22" t="s">
        <v>164</v>
      </c>
      <c r="I46" s="11" t="s">
        <v>179</v>
      </c>
      <c r="J46" s="11" t="s">
        <v>180</v>
      </c>
      <c r="K46" s="16">
        <f t="shared" si="2"/>
        <v>7059</v>
      </c>
      <c r="L46" s="17">
        <v>9050</v>
      </c>
      <c r="M46" s="18">
        <v>0.22</v>
      </c>
      <c r="N46" s="19" t="s">
        <v>27</v>
      </c>
      <c r="O46" s="21" t="s">
        <v>181</v>
      </c>
      <c r="P46" s="20" t="s">
        <v>29</v>
      </c>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2:48" ht="80.099999999999994" customHeight="1">
      <c r="B47" s="10">
        <v>41</v>
      </c>
      <c r="C47" s="11" t="s">
        <v>182</v>
      </c>
      <c r="D47" s="11" t="s">
        <v>163</v>
      </c>
      <c r="E47" s="12"/>
      <c r="F47" s="11" t="s">
        <v>22</v>
      </c>
      <c r="G47" s="13" t="s">
        <v>23</v>
      </c>
      <c r="H47" s="22" t="s">
        <v>164</v>
      </c>
      <c r="I47" s="11" t="s">
        <v>183</v>
      </c>
      <c r="J47" s="11" t="s">
        <v>184</v>
      </c>
      <c r="K47" s="16">
        <f t="shared" si="2"/>
        <v>6708</v>
      </c>
      <c r="L47" s="17">
        <v>8600</v>
      </c>
      <c r="M47" s="18">
        <v>0.22</v>
      </c>
      <c r="N47" s="19" t="s">
        <v>27</v>
      </c>
      <c r="O47" s="21" t="s">
        <v>185</v>
      </c>
      <c r="P47" s="20" t="s">
        <v>29</v>
      </c>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2:48" ht="50.1" customHeight="1">
      <c r="B48" s="23" t="s">
        <v>186</v>
      </c>
      <c r="C48" s="24"/>
      <c r="D48" s="24"/>
      <c r="E48" s="24"/>
      <c r="F48" s="24"/>
      <c r="G48" s="24"/>
      <c r="H48" s="24"/>
      <c r="I48" s="24"/>
      <c r="J48" s="24"/>
      <c r="K48" s="24"/>
      <c r="L48" s="24"/>
      <c r="M48" s="25"/>
      <c r="N48" s="19" t="s">
        <v>27</v>
      </c>
      <c r="O48" s="21" t="s">
        <v>187</v>
      </c>
      <c r="P48" s="20" t="s">
        <v>29</v>
      </c>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2:48" ht="80.099999999999994" customHeight="1">
      <c r="B49" s="10">
        <v>42</v>
      </c>
      <c r="C49" s="11" t="s">
        <v>188</v>
      </c>
      <c r="D49" s="11" t="s">
        <v>186</v>
      </c>
      <c r="E49" s="12"/>
      <c r="F49" s="11" t="s">
        <v>22</v>
      </c>
      <c r="G49" s="11" t="s">
        <v>189</v>
      </c>
      <c r="H49" s="22" t="s">
        <v>190</v>
      </c>
      <c r="I49" s="11" t="s">
        <v>191</v>
      </c>
      <c r="J49" s="26" t="s">
        <v>184</v>
      </c>
      <c r="K49" s="16">
        <f t="shared" ref="K49:K54" si="3">L49*(1-0.22)</f>
        <v>5382</v>
      </c>
      <c r="L49" s="17">
        <v>6900</v>
      </c>
      <c r="M49" s="18">
        <v>0.22</v>
      </c>
      <c r="N49" s="19" t="s">
        <v>27</v>
      </c>
      <c r="O49" s="21" t="s">
        <v>192</v>
      </c>
      <c r="P49" s="20" t="s">
        <v>29</v>
      </c>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2:48" ht="80.099999999999994" customHeight="1">
      <c r="B50" s="10">
        <v>43</v>
      </c>
      <c r="C50" s="11" t="s">
        <v>193</v>
      </c>
      <c r="D50" s="11" t="s">
        <v>186</v>
      </c>
      <c r="E50" s="11"/>
      <c r="F50" s="11" t="s">
        <v>22</v>
      </c>
      <c r="G50" s="11" t="s">
        <v>189</v>
      </c>
      <c r="H50" s="22" t="s">
        <v>190</v>
      </c>
      <c r="I50" s="11" t="s">
        <v>194</v>
      </c>
      <c r="J50" s="11" t="s">
        <v>42</v>
      </c>
      <c r="K50" s="16">
        <f t="shared" si="3"/>
        <v>3081</v>
      </c>
      <c r="L50" s="17">
        <v>3950</v>
      </c>
      <c r="M50" s="18">
        <v>0.22</v>
      </c>
      <c r="N50" s="19" t="s">
        <v>27</v>
      </c>
      <c r="O50" s="21" t="s">
        <v>195</v>
      </c>
      <c r="P50" s="20" t="s">
        <v>29</v>
      </c>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2:48" ht="80.099999999999994" customHeight="1">
      <c r="B51" s="10">
        <v>44</v>
      </c>
      <c r="C51" s="11" t="s">
        <v>196</v>
      </c>
      <c r="D51" s="11" t="s">
        <v>186</v>
      </c>
      <c r="E51" s="12"/>
      <c r="F51" s="11" t="s">
        <v>22</v>
      </c>
      <c r="G51" s="11" t="s">
        <v>189</v>
      </c>
      <c r="H51" s="22" t="s">
        <v>190</v>
      </c>
      <c r="I51" s="11" t="s">
        <v>197</v>
      </c>
      <c r="J51" s="11" t="s">
        <v>42</v>
      </c>
      <c r="K51" s="16">
        <f t="shared" si="3"/>
        <v>6630</v>
      </c>
      <c r="L51" s="17">
        <v>8500</v>
      </c>
      <c r="M51" s="18">
        <v>0.22</v>
      </c>
      <c r="N51" s="19" t="s">
        <v>27</v>
      </c>
      <c r="O51" s="21" t="s">
        <v>198</v>
      </c>
      <c r="P51" s="20" t="s">
        <v>29</v>
      </c>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2:48" ht="80.099999999999994" customHeight="1">
      <c r="B52" s="10">
        <v>45</v>
      </c>
      <c r="C52" s="11" t="s">
        <v>199</v>
      </c>
      <c r="D52" s="11" t="s">
        <v>186</v>
      </c>
      <c r="E52" s="12"/>
      <c r="F52" s="11" t="s">
        <v>22</v>
      </c>
      <c r="G52" s="11" t="s">
        <v>189</v>
      </c>
      <c r="H52" s="22" t="s">
        <v>190</v>
      </c>
      <c r="I52" s="11" t="s">
        <v>200</v>
      </c>
      <c r="J52" s="26" t="s">
        <v>184</v>
      </c>
      <c r="K52" s="16">
        <f t="shared" si="3"/>
        <v>5070</v>
      </c>
      <c r="L52" s="17">
        <v>6500</v>
      </c>
      <c r="M52" s="18">
        <v>0.22</v>
      </c>
      <c r="N52" s="19" t="s">
        <v>27</v>
      </c>
      <c r="O52" s="21" t="s">
        <v>201</v>
      </c>
      <c r="P52" s="20" t="s">
        <v>29</v>
      </c>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2:48" ht="80.099999999999994" customHeight="1">
      <c r="B53" s="10">
        <v>46</v>
      </c>
      <c r="C53" s="11" t="s">
        <v>202</v>
      </c>
      <c r="D53" s="11" t="s">
        <v>186</v>
      </c>
      <c r="E53" s="12"/>
      <c r="F53" s="11" t="s">
        <v>22</v>
      </c>
      <c r="G53" s="11" t="s">
        <v>189</v>
      </c>
      <c r="H53" s="22" t="s">
        <v>190</v>
      </c>
      <c r="I53" s="11" t="s">
        <v>203</v>
      </c>
      <c r="J53" s="26" t="s">
        <v>184</v>
      </c>
      <c r="K53" s="16">
        <f t="shared" si="3"/>
        <v>2886</v>
      </c>
      <c r="L53" s="17">
        <v>3700</v>
      </c>
      <c r="M53" s="18">
        <v>0.22</v>
      </c>
      <c r="N53" s="19" t="s">
        <v>27</v>
      </c>
      <c r="O53" s="21" t="s">
        <v>204</v>
      </c>
      <c r="P53" s="20" t="s">
        <v>29</v>
      </c>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2:48" ht="80.099999999999994" customHeight="1">
      <c r="B54" s="10">
        <v>47</v>
      </c>
      <c r="C54" s="11" t="s">
        <v>205</v>
      </c>
      <c r="D54" s="11" t="s">
        <v>186</v>
      </c>
      <c r="E54" s="12"/>
      <c r="F54" s="11" t="s">
        <v>22</v>
      </c>
      <c r="G54" s="11" t="s">
        <v>189</v>
      </c>
      <c r="H54" s="22" t="s">
        <v>190</v>
      </c>
      <c r="I54" s="11" t="s">
        <v>206</v>
      </c>
      <c r="J54" s="27" t="s">
        <v>184</v>
      </c>
      <c r="K54" s="16">
        <f t="shared" si="3"/>
        <v>5226</v>
      </c>
      <c r="L54" s="17">
        <v>6700</v>
      </c>
      <c r="M54" s="18">
        <v>0.22</v>
      </c>
      <c r="N54" s="19" t="s">
        <v>27</v>
      </c>
      <c r="O54" s="21" t="s">
        <v>207</v>
      </c>
      <c r="P54" s="20" t="s">
        <v>29</v>
      </c>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2:48" ht="50.1" customHeight="1">
      <c r="B55" s="63" t="s">
        <v>208</v>
      </c>
      <c r="C55" s="64"/>
      <c r="D55" s="64"/>
      <c r="E55" s="64"/>
      <c r="F55" s="64"/>
      <c r="G55" s="64"/>
      <c r="H55" s="64"/>
      <c r="I55" s="64"/>
      <c r="J55" s="64"/>
      <c r="K55" s="64"/>
      <c r="L55" s="64"/>
      <c r="M55" s="65"/>
      <c r="N55" s="19" t="s">
        <v>27</v>
      </c>
      <c r="O55" s="21" t="s">
        <v>209</v>
      </c>
      <c r="P55" s="20" t="s">
        <v>29</v>
      </c>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2:48" ht="80.099999999999994" customHeight="1">
      <c r="B56" s="10">
        <v>48</v>
      </c>
      <c r="C56" s="11" t="s">
        <v>210</v>
      </c>
      <c r="D56" s="11" t="s">
        <v>208</v>
      </c>
      <c r="E56" s="12"/>
      <c r="F56" s="11" t="s">
        <v>22</v>
      </c>
      <c r="G56" s="11" t="s">
        <v>211</v>
      </c>
      <c r="H56" s="22" t="s">
        <v>164</v>
      </c>
      <c r="I56" s="11" t="s">
        <v>212</v>
      </c>
      <c r="J56" s="26" t="s">
        <v>184</v>
      </c>
      <c r="K56" s="16">
        <f>L56*(1-0.22)</f>
        <v>9750</v>
      </c>
      <c r="L56" s="17">
        <v>12500</v>
      </c>
      <c r="M56" s="18">
        <v>0.22</v>
      </c>
      <c r="N56" s="19" t="s">
        <v>27</v>
      </c>
      <c r="O56" s="21" t="s">
        <v>213</v>
      </c>
      <c r="P56" s="20" t="s">
        <v>29</v>
      </c>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2:48" ht="80.099999999999994" customHeight="1">
      <c r="B57" s="10">
        <v>49</v>
      </c>
      <c r="C57" s="11" t="s">
        <v>214</v>
      </c>
      <c r="D57" s="11" t="s">
        <v>208</v>
      </c>
      <c r="E57" s="12"/>
      <c r="F57" s="11" t="s">
        <v>22</v>
      </c>
      <c r="G57" s="11" t="s">
        <v>211</v>
      </c>
      <c r="H57" s="22" t="s">
        <v>164</v>
      </c>
      <c r="I57" s="11" t="s">
        <v>215</v>
      </c>
      <c r="J57" s="11" t="s">
        <v>42</v>
      </c>
      <c r="K57" s="16">
        <f>L57*(1-0.22)</f>
        <v>12012</v>
      </c>
      <c r="L57" s="17">
        <v>15400</v>
      </c>
      <c r="M57" s="18">
        <v>0.22</v>
      </c>
      <c r="N57" s="19" t="s">
        <v>27</v>
      </c>
      <c r="O57" s="21" t="s">
        <v>216</v>
      </c>
      <c r="P57" s="20" t="s">
        <v>29</v>
      </c>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2:48" ht="80.099999999999994" customHeight="1">
      <c r="B58" s="10">
        <v>50</v>
      </c>
      <c r="C58" s="11" t="s">
        <v>217</v>
      </c>
      <c r="D58" s="11" t="s">
        <v>208</v>
      </c>
      <c r="E58" s="11"/>
      <c r="F58" s="11" t="s">
        <v>22</v>
      </c>
      <c r="G58" s="11" t="s">
        <v>211</v>
      </c>
      <c r="H58" s="22" t="s">
        <v>164</v>
      </c>
      <c r="I58" s="11" t="s">
        <v>218</v>
      </c>
      <c r="J58" s="26" t="s">
        <v>184</v>
      </c>
      <c r="K58" s="16">
        <f>L58*(1-0.22)</f>
        <v>9906</v>
      </c>
      <c r="L58" s="17">
        <v>12700</v>
      </c>
      <c r="M58" s="18">
        <v>0.22</v>
      </c>
      <c r="N58" s="19" t="s">
        <v>27</v>
      </c>
      <c r="O58" s="21" t="s">
        <v>219</v>
      </c>
      <c r="P58" s="20" t="s">
        <v>29</v>
      </c>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2:48" ht="80.099999999999994" customHeight="1">
      <c r="B59" s="10">
        <v>51</v>
      </c>
      <c r="C59" s="11" t="s">
        <v>220</v>
      </c>
      <c r="D59" s="11" t="s">
        <v>208</v>
      </c>
      <c r="E59" s="12"/>
      <c r="F59" s="11" t="s">
        <v>22</v>
      </c>
      <c r="G59" s="11" t="s">
        <v>211</v>
      </c>
      <c r="H59" s="22" t="s">
        <v>164</v>
      </c>
      <c r="I59" s="11" t="s">
        <v>221</v>
      </c>
      <c r="J59" s="26" t="s">
        <v>184</v>
      </c>
      <c r="K59" s="16">
        <f>L59*(1-0.22)</f>
        <v>6236.1</v>
      </c>
      <c r="L59" s="17">
        <v>7995</v>
      </c>
      <c r="M59" s="18">
        <v>0.22</v>
      </c>
      <c r="N59" s="19" t="s">
        <v>27</v>
      </c>
      <c r="O59" s="21" t="s">
        <v>222</v>
      </c>
      <c r="P59" s="20" t="s">
        <v>29</v>
      </c>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2:48" ht="50.1" customHeight="1">
      <c r="B60" s="63" t="s">
        <v>223</v>
      </c>
      <c r="C60" s="64"/>
      <c r="D60" s="64"/>
      <c r="E60" s="64"/>
      <c r="F60" s="64"/>
      <c r="G60" s="64"/>
      <c r="H60" s="64"/>
      <c r="I60" s="64"/>
      <c r="J60" s="64"/>
      <c r="K60" s="64"/>
      <c r="L60" s="64"/>
      <c r="M60" s="65"/>
      <c r="N60" s="19" t="s">
        <v>27</v>
      </c>
      <c r="O60" s="21" t="s">
        <v>224</v>
      </c>
      <c r="P60" s="20" t="s">
        <v>29</v>
      </c>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2:48" ht="80.099999999999994" customHeight="1">
      <c r="B61" s="10">
        <v>52</v>
      </c>
      <c r="C61" s="11" t="s">
        <v>225</v>
      </c>
      <c r="D61" s="11" t="s">
        <v>226</v>
      </c>
      <c r="E61" s="12"/>
      <c r="F61" s="11" t="s">
        <v>22</v>
      </c>
      <c r="G61" s="11" t="s">
        <v>189</v>
      </c>
      <c r="H61" s="22" t="s">
        <v>164</v>
      </c>
      <c r="I61" s="11" t="s">
        <v>227</v>
      </c>
      <c r="J61" s="11" t="s">
        <v>228</v>
      </c>
      <c r="K61" s="16">
        <f>L61*(1-0.22)</f>
        <v>5304</v>
      </c>
      <c r="L61" s="17">
        <v>6800</v>
      </c>
      <c r="M61" s="18">
        <v>0.22</v>
      </c>
      <c r="N61" s="19" t="s">
        <v>27</v>
      </c>
      <c r="O61" s="21" t="s">
        <v>229</v>
      </c>
      <c r="P61" s="20" t="s">
        <v>29</v>
      </c>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2:48" ht="80.099999999999994" customHeight="1">
      <c r="B62" s="10">
        <v>53</v>
      </c>
      <c r="C62" s="11" t="s">
        <v>230</v>
      </c>
      <c r="D62" s="11" t="s">
        <v>226</v>
      </c>
      <c r="E62" s="12"/>
      <c r="F62" s="11" t="s">
        <v>22</v>
      </c>
      <c r="G62" s="11" t="s">
        <v>189</v>
      </c>
      <c r="H62" s="22" t="s">
        <v>164</v>
      </c>
      <c r="I62" s="11" t="s">
        <v>206</v>
      </c>
      <c r="J62" s="11" t="s">
        <v>228</v>
      </c>
      <c r="K62" s="16">
        <f>L62*(1-0.22)</f>
        <v>4173</v>
      </c>
      <c r="L62" s="17">
        <v>5350</v>
      </c>
      <c r="M62" s="18">
        <v>0.22</v>
      </c>
      <c r="N62" s="19" t="s">
        <v>27</v>
      </c>
      <c r="O62" s="21" t="s">
        <v>231</v>
      </c>
      <c r="P62" s="20" t="s">
        <v>29</v>
      </c>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2:48" ht="80.099999999999994" customHeight="1">
      <c r="B63" s="10">
        <v>54</v>
      </c>
      <c r="C63" s="11" t="s">
        <v>230</v>
      </c>
      <c r="D63" s="11" t="s">
        <v>226</v>
      </c>
      <c r="E63" s="12"/>
      <c r="F63" s="11" t="s">
        <v>22</v>
      </c>
      <c r="G63" s="11" t="s">
        <v>189</v>
      </c>
      <c r="H63" s="22" t="s">
        <v>164</v>
      </c>
      <c r="I63" s="11" t="s">
        <v>212</v>
      </c>
      <c r="J63" s="11" t="s">
        <v>228</v>
      </c>
      <c r="K63" s="16">
        <f>L63*(1-0.22)</f>
        <v>4173</v>
      </c>
      <c r="L63" s="17">
        <v>5350</v>
      </c>
      <c r="M63" s="18">
        <v>0.22</v>
      </c>
      <c r="N63" s="19" t="s">
        <v>27</v>
      </c>
      <c r="O63" s="21" t="s">
        <v>232</v>
      </c>
      <c r="P63" s="20" t="s">
        <v>29</v>
      </c>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2:48" ht="50.1" customHeight="1">
      <c r="B64" s="63" t="s">
        <v>233</v>
      </c>
      <c r="C64" s="64"/>
      <c r="D64" s="64"/>
      <c r="E64" s="64"/>
      <c r="F64" s="64"/>
      <c r="G64" s="64"/>
      <c r="H64" s="64"/>
      <c r="I64" s="64"/>
      <c r="J64" s="64"/>
      <c r="K64" s="64"/>
      <c r="L64" s="64"/>
      <c r="M64" s="65"/>
      <c r="N64" s="19" t="s">
        <v>27</v>
      </c>
      <c r="O64" s="21" t="s">
        <v>234</v>
      </c>
      <c r="P64" s="20" t="s">
        <v>29</v>
      </c>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2:48" ht="80.099999999999994" customHeight="1">
      <c r="B65" s="10">
        <v>55</v>
      </c>
      <c r="C65" s="11" t="s">
        <v>235</v>
      </c>
      <c r="D65" s="11" t="s">
        <v>233</v>
      </c>
      <c r="E65" s="11"/>
      <c r="F65" s="11" t="s">
        <v>22</v>
      </c>
      <c r="G65" s="11" t="s">
        <v>23</v>
      </c>
      <c r="H65" s="22" t="s">
        <v>236</v>
      </c>
      <c r="I65" s="11" t="s">
        <v>78</v>
      </c>
      <c r="J65" s="11" t="s">
        <v>151</v>
      </c>
      <c r="K65" s="16">
        <f t="shared" ref="K65:K70" si="4">L65*(1-0.22)</f>
        <v>5070</v>
      </c>
      <c r="L65" s="17">
        <v>6500</v>
      </c>
      <c r="M65" s="18">
        <v>0.22</v>
      </c>
      <c r="N65" s="19" t="s">
        <v>27</v>
      </c>
      <c r="O65" s="21" t="s">
        <v>237</v>
      </c>
      <c r="P65" s="20" t="s">
        <v>29</v>
      </c>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2:48" ht="80.099999999999994" customHeight="1">
      <c r="B66" s="10">
        <v>56</v>
      </c>
      <c r="C66" s="11" t="s">
        <v>235</v>
      </c>
      <c r="D66" s="11" t="s">
        <v>233</v>
      </c>
      <c r="E66" s="12"/>
      <c r="F66" s="11" t="s">
        <v>22</v>
      </c>
      <c r="G66" s="11" t="s">
        <v>23</v>
      </c>
      <c r="H66" s="22" t="s">
        <v>236</v>
      </c>
      <c r="I66" s="11" t="s">
        <v>238</v>
      </c>
      <c r="J66" s="11" t="s">
        <v>151</v>
      </c>
      <c r="K66" s="16">
        <f t="shared" si="4"/>
        <v>3510</v>
      </c>
      <c r="L66" s="17">
        <v>4500</v>
      </c>
      <c r="M66" s="18">
        <v>0.22</v>
      </c>
      <c r="N66" s="19" t="s">
        <v>27</v>
      </c>
      <c r="O66" s="21" t="s">
        <v>239</v>
      </c>
      <c r="P66" s="20" t="s">
        <v>29</v>
      </c>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2:48" ht="80.099999999999994" customHeight="1">
      <c r="B67" s="10">
        <v>57</v>
      </c>
      <c r="C67" s="11" t="s">
        <v>235</v>
      </c>
      <c r="D67" s="11" t="s">
        <v>233</v>
      </c>
      <c r="E67" s="12"/>
      <c r="F67" s="11" t="s">
        <v>22</v>
      </c>
      <c r="G67" s="11" t="s">
        <v>23</v>
      </c>
      <c r="H67" s="22" t="s">
        <v>236</v>
      </c>
      <c r="I67" s="11" t="s">
        <v>240</v>
      </c>
      <c r="J67" s="11" t="s">
        <v>151</v>
      </c>
      <c r="K67" s="16">
        <f t="shared" si="4"/>
        <v>3354</v>
      </c>
      <c r="L67" s="17">
        <v>4300</v>
      </c>
      <c r="M67" s="18">
        <v>0.22</v>
      </c>
      <c r="N67" s="19" t="s">
        <v>27</v>
      </c>
      <c r="O67" s="21" t="s">
        <v>241</v>
      </c>
      <c r="P67" s="20" t="s">
        <v>29</v>
      </c>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2:48" ht="80.099999999999994" customHeight="1">
      <c r="B68" s="10">
        <v>58</v>
      </c>
      <c r="C68" s="11" t="s">
        <v>242</v>
      </c>
      <c r="D68" s="11" t="s">
        <v>233</v>
      </c>
      <c r="E68" s="12"/>
      <c r="F68" s="11" t="s">
        <v>22</v>
      </c>
      <c r="G68" s="11" t="s">
        <v>23</v>
      </c>
      <c r="H68" s="22" t="s">
        <v>236</v>
      </c>
      <c r="I68" s="11" t="s">
        <v>243</v>
      </c>
      <c r="J68" s="11" t="s">
        <v>244</v>
      </c>
      <c r="K68" s="16">
        <f t="shared" si="4"/>
        <v>11310</v>
      </c>
      <c r="L68" s="17">
        <v>14500</v>
      </c>
      <c r="M68" s="18">
        <v>0.22</v>
      </c>
      <c r="N68" s="19" t="s">
        <v>27</v>
      </c>
      <c r="O68" s="21" t="s">
        <v>245</v>
      </c>
      <c r="P68" s="20" t="s">
        <v>29</v>
      </c>
    </row>
    <row r="69" spans="2:48" ht="80.099999999999994" customHeight="1">
      <c r="B69" s="10">
        <v>59</v>
      </c>
      <c r="C69" s="11" t="s">
        <v>246</v>
      </c>
      <c r="D69" s="11" t="s">
        <v>233</v>
      </c>
      <c r="E69" s="11"/>
      <c r="F69" s="11" t="s">
        <v>22</v>
      </c>
      <c r="G69" s="11" t="s">
        <v>23</v>
      </c>
      <c r="H69" s="22" t="s">
        <v>236</v>
      </c>
      <c r="I69" s="11" t="s">
        <v>243</v>
      </c>
      <c r="J69" s="11" t="s">
        <v>151</v>
      </c>
      <c r="K69" s="16">
        <f t="shared" si="4"/>
        <v>18720</v>
      </c>
      <c r="L69" s="17">
        <v>24000</v>
      </c>
      <c r="M69" s="18">
        <v>0.22</v>
      </c>
      <c r="N69" s="19" t="s">
        <v>27</v>
      </c>
      <c r="O69" s="21" t="s">
        <v>247</v>
      </c>
      <c r="P69" s="20" t="s">
        <v>29</v>
      </c>
    </row>
    <row r="70" spans="2:48" ht="80.099999999999994" customHeight="1">
      <c r="B70" s="10">
        <v>60</v>
      </c>
      <c r="C70" s="11" t="s">
        <v>248</v>
      </c>
      <c r="D70" s="11" t="s">
        <v>233</v>
      </c>
      <c r="E70" s="12"/>
      <c r="F70" s="11" t="s">
        <v>22</v>
      </c>
      <c r="G70" s="11" t="s">
        <v>23</v>
      </c>
      <c r="H70" s="22" t="s">
        <v>236</v>
      </c>
      <c r="I70" s="11" t="s">
        <v>249</v>
      </c>
      <c r="J70" s="11" t="s">
        <v>244</v>
      </c>
      <c r="K70" s="16">
        <f t="shared" si="4"/>
        <v>5850</v>
      </c>
      <c r="L70" s="17">
        <v>7500</v>
      </c>
      <c r="M70" s="18">
        <v>0.22</v>
      </c>
      <c r="N70" s="19" t="s">
        <v>27</v>
      </c>
      <c r="O70" s="21" t="s">
        <v>250</v>
      </c>
      <c r="P70" s="20" t="s">
        <v>29</v>
      </c>
    </row>
    <row r="71" spans="2:48" ht="50.1" customHeight="1">
      <c r="B71" s="63" t="s">
        <v>251</v>
      </c>
      <c r="C71" s="64"/>
      <c r="D71" s="64"/>
      <c r="E71" s="64"/>
      <c r="F71" s="64"/>
      <c r="G71" s="64"/>
      <c r="H71" s="64"/>
      <c r="I71" s="64"/>
      <c r="J71" s="64"/>
      <c r="K71" s="64"/>
      <c r="L71" s="64"/>
      <c r="M71" s="65"/>
      <c r="N71" s="19" t="s">
        <v>27</v>
      </c>
      <c r="O71" s="21" t="s">
        <v>252</v>
      </c>
      <c r="P71" s="20" t="s">
        <v>29</v>
      </c>
    </row>
    <row r="72" spans="2:48" s="1" customFormat="1" ht="80.099999999999994" customHeight="1">
      <c r="B72" s="68">
        <v>61</v>
      </c>
      <c r="C72" s="72" t="s">
        <v>253</v>
      </c>
      <c r="D72" s="28" t="s">
        <v>254</v>
      </c>
      <c r="E72" s="81"/>
      <c r="F72" s="72" t="s">
        <v>255</v>
      </c>
      <c r="G72" s="72" t="s">
        <v>23</v>
      </c>
      <c r="H72" s="91" t="s">
        <v>251</v>
      </c>
      <c r="I72" s="95" t="s">
        <v>256</v>
      </c>
      <c r="J72" s="28" t="s">
        <v>257</v>
      </c>
      <c r="K72" s="29">
        <f t="shared" ref="K72:K85" si="5">L72*(1-22%)</f>
        <v>0</v>
      </c>
      <c r="L72" s="30"/>
      <c r="M72" s="31">
        <v>0.22</v>
      </c>
      <c r="N72" s="19" t="s">
        <v>27</v>
      </c>
      <c r="O72" s="21" t="s">
        <v>258</v>
      </c>
      <c r="P72" s="20" t="s">
        <v>29</v>
      </c>
      <c r="Q72" s="32"/>
      <c r="R72" s="32"/>
      <c r="S72" s="32"/>
      <c r="T72" s="32"/>
    </row>
    <row r="73" spans="2:48" s="1" customFormat="1" ht="80.099999999999994" customHeight="1">
      <c r="B73" s="69"/>
      <c r="C73" s="73"/>
      <c r="D73" s="28" t="s">
        <v>259</v>
      </c>
      <c r="E73" s="82"/>
      <c r="F73" s="89"/>
      <c r="G73" s="73"/>
      <c r="H73" s="92"/>
      <c r="I73" s="89"/>
      <c r="J73" s="28" t="s">
        <v>257</v>
      </c>
      <c r="K73" s="29">
        <f t="shared" si="5"/>
        <v>0</v>
      </c>
      <c r="L73" s="30"/>
      <c r="M73" s="31">
        <v>0.22</v>
      </c>
      <c r="N73" s="19" t="s">
        <v>27</v>
      </c>
      <c r="O73" s="21" t="s">
        <v>260</v>
      </c>
      <c r="P73" s="20" t="s">
        <v>29</v>
      </c>
      <c r="Q73" s="32"/>
      <c r="R73" s="32"/>
      <c r="S73" s="32"/>
      <c r="T73" s="32"/>
    </row>
    <row r="74" spans="2:48" ht="80.099999999999994" customHeight="1">
      <c r="B74" s="70">
        <v>62</v>
      </c>
      <c r="C74" s="74" t="s">
        <v>261</v>
      </c>
      <c r="D74" s="11" t="s">
        <v>254</v>
      </c>
      <c r="E74" s="83"/>
      <c r="F74" s="74" t="s">
        <v>262</v>
      </c>
      <c r="G74" s="74" t="s">
        <v>23</v>
      </c>
      <c r="H74" s="93" t="s">
        <v>251</v>
      </c>
      <c r="I74" s="96" t="s">
        <v>263</v>
      </c>
      <c r="J74" s="97" t="s">
        <v>264</v>
      </c>
      <c r="K74" s="33">
        <f t="shared" si="5"/>
        <v>19500</v>
      </c>
      <c r="L74" s="17">
        <v>25000</v>
      </c>
      <c r="M74" s="18">
        <v>0.22</v>
      </c>
      <c r="N74" s="19" t="s">
        <v>27</v>
      </c>
      <c r="O74" s="21" t="s">
        <v>265</v>
      </c>
      <c r="P74" s="20" t="s">
        <v>29</v>
      </c>
    </row>
    <row r="75" spans="2:48" ht="80.099999999999994" customHeight="1">
      <c r="B75" s="71"/>
      <c r="C75" s="75"/>
      <c r="D75" s="11" t="s">
        <v>259</v>
      </c>
      <c r="E75" s="84"/>
      <c r="F75" s="90"/>
      <c r="G75" s="75"/>
      <c r="H75" s="94"/>
      <c r="I75" s="90"/>
      <c r="J75" s="98"/>
      <c r="K75" s="33">
        <f t="shared" si="5"/>
        <v>13650</v>
      </c>
      <c r="L75" s="17">
        <v>17500</v>
      </c>
      <c r="M75" s="18">
        <v>0.22</v>
      </c>
      <c r="N75" s="19" t="s">
        <v>27</v>
      </c>
      <c r="O75" s="21" t="s">
        <v>266</v>
      </c>
      <c r="P75" s="20" t="s">
        <v>29</v>
      </c>
    </row>
    <row r="76" spans="2:48" ht="80.099999999999994" customHeight="1">
      <c r="B76" s="70">
        <v>63</v>
      </c>
      <c r="C76" s="74" t="s">
        <v>267</v>
      </c>
      <c r="D76" s="11" t="s">
        <v>254</v>
      </c>
      <c r="E76" s="83"/>
      <c r="F76" s="74" t="s">
        <v>268</v>
      </c>
      <c r="G76" s="74" t="s">
        <v>23</v>
      </c>
      <c r="H76" s="93" t="s">
        <v>251</v>
      </c>
      <c r="I76" s="96" t="s">
        <v>263</v>
      </c>
      <c r="J76" s="97" t="s">
        <v>269</v>
      </c>
      <c r="K76" s="33">
        <f t="shared" si="5"/>
        <v>24960</v>
      </c>
      <c r="L76" s="17">
        <v>32000</v>
      </c>
      <c r="M76" s="18">
        <v>0.22</v>
      </c>
      <c r="N76" s="19" t="s">
        <v>27</v>
      </c>
      <c r="O76" s="21" t="s">
        <v>270</v>
      </c>
      <c r="P76" s="20" t="s">
        <v>29</v>
      </c>
    </row>
    <row r="77" spans="2:48" ht="80.099999999999994" customHeight="1">
      <c r="B77" s="71"/>
      <c r="C77" s="75"/>
      <c r="D77" s="11" t="s">
        <v>259</v>
      </c>
      <c r="E77" s="84"/>
      <c r="F77" s="90"/>
      <c r="G77" s="75"/>
      <c r="H77" s="94"/>
      <c r="I77" s="90"/>
      <c r="J77" s="98"/>
      <c r="K77" s="33">
        <f t="shared" si="5"/>
        <v>17160</v>
      </c>
      <c r="L77" s="17">
        <v>22000</v>
      </c>
      <c r="M77" s="18">
        <v>0.22</v>
      </c>
      <c r="N77" s="19" t="s">
        <v>27</v>
      </c>
      <c r="O77" s="21" t="s">
        <v>271</v>
      </c>
      <c r="P77" s="20" t="s">
        <v>29</v>
      </c>
    </row>
    <row r="78" spans="2:48" s="1" customFormat="1" ht="80.099999999999994" customHeight="1">
      <c r="B78" s="68">
        <v>64</v>
      </c>
      <c r="C78" s="72" t="s">
        <v>272</v>
      </c>
      <c r="D78" s="28" t="s">
        <v>254</v>
      </c>
      <c r="E78" s="85"/>
      <c r="F78" s="72" t="s">
        <v>273</v>
      </c>
      <c r="G78" s="72" t="s">
        <v>23</v>
      </c>
      <c r="H78" s="91" t="s">
        <v>251</v>
      </c>
      <c r="I78" s="95" t="s">
        <v>256</v>
      </c>
      <c r="J78" s="99" t="s">
        <v>269</v>
      </c>
      <c r="K78" s="29">
        <f t="shared" si="5"/>
        <v>0</v>
      </c>
      <c r="L78" s="30"/>
      <c r="M78" s="31">
        <v>0.22</v>
      </c>
      <c r="N78" s="19" t="s">
        <v>27</v>
      </c>
      <c r="O78" s="21" t="s">
        <v>274</v>
      </c>
      <c r="P78" s="20" t="s">
        <v>29</v>
      </c>
      <c r="Q78" s="32"/>
      <c r="R78" s="32"/>
      <c r="S78" s="32"/>
      <c r="T78" s="32"/>
    </row>
    <row r="79" spans="2:48" s="1" customFormat="1" ht="80.099999999999994" customHeight="1">
      <c r="B79" s="69"/>
      <c r="C79" s="73"/>
      <c r="D79" s="28" t="s">
        <v>259</v>
      </c>
      <c r="E79" s="86"/>
      <c r="F79" s="89"/>
      <c r="G79" s="73"/>
      <c r="H79" s="92"/>
      <c r="I79" s="89"/>
      <c r="J79" s="100"/>
      <c r="K79" s="29">
        <f t="shared" si="5"/>
        <v>0</v>
      </c>
      <c r="L79" s="30"/>
      <c r="M79" s="31">
        <v>0.22</v>
      </c>
      <c r="N79" s="19" t="s">
        <v>27</v>
      </c>
      <c r="O79" s="21" t="s">
        <v>275</v>
      </c>
      <c r="P79" s="20" t="s">
        <v>29</v>
      </c>
      <c r="Q79" s="32"/>
      <c r="R79" s="32"/>
      <c r="S79" s="32"/>
      <c r="T79" s="32"/>
    </row>
    <row r="80" spans="2:48" ht="80.099999999999994" customHeight="1">
      <c r="B80" s="70">
        <v>65</v>
      </c>
      <c r="C80" s="74" t="s">
        <v>276</v>
      </c>
      <c r="D80" s="11" t="s">
        <v>254</v>
      </c>
      <c r="E80" s="87"/>
      <c r="F80" s="74" t="s">
        <v>277</v>
      </c>
      <c r="G80" s="74" t="s">
        <v>23</v>
      </c>
      <c r="H80" s="93" t="s">
        <v>251</v>
      </c>
      <c r="I80" s="96" t="s">
        <v>263</v>
      </c>
      <c r="J80" s="97" t="s">
        <v>269</v>
      </c>
      <c r="K80" s="33">
        <f t="shared" si="5"/>
        <v>17550</v>
      </c>
      <c r="L80" s="17">
        <v>22500</v>
      </c>
      <c r="M80" s="18">
        <v>0.22</v>
      </c>
      <c r="N80" s="19" t="s">
        <v>27</v>
      </c>
      <c r="O80" s="21" t="s">
        <v>278</v>
      </c>
      <c r="P80" s="20" t="s">
        <v>29</v>
      </c>
    </row>
    <row r="81" spans="2:20" ht="80.099999999999994" customHeight="1">
      <c r="B81" s="71"/>
      <c r="C81" s="75"/>
      <c r="D81" s="11" t="s">
        <v>259</v>
      </c>
      <c r="E81" s="88"/>
      <c r="F81" s="90"/>
      <c r="G81" s="75"/>
      <c r="H81" s="94"/>
      <c r="I81" s="90"/>
      <c r="J81" s="98"/>
      <c r="K81" s="33">
        <f t="shared" si="5"/>
        <v>11778</v>
      </c>
      <c r="L81" s="17">
        <v>15100</v>
      </c>
      <c r="M81" s="18">
        <v>0.22</v>
      </c>
      <c r="N81" s="19" t="s">
        <v>27</v>
      </c>
      <c r="O81" s="21" t="s">
        <v>279</v>
      </c>
      <c r="P81" s="20" t="s">
        <v>29</v>
      </c>
    </row>
    <row r="82" spans="2:20" ht="80.099999999999994" customHeight="1">
      <c r="B82" s="70">
        <v>66</v>
      </c>
      <c r="C82" s="74" t="s">
        <v>280</v>
      </c>
      <c r="D82" s="11" t="s">
        <v>254</v>
      </c>
      <c r="E82" s="87"/>
      <c r="F82" s="74" t="s">
        <v>281</v>
      </c>
      <c r="G82" s="74" t="s">
        <v>23</v>
      </c>
      <c r="H82" s="93" t="s">
        <v>251</v>
      </c>
      <c r="I82" s="96" t="s">
        <v>263</v>
      </c>
      <c r="J82" s="97" t="s">
        <v>282</v>
      </c>
      <c r="K82" s="33">
        <f t="shared" si="5"/>
        <v>11310</v>
      </c>
      <c r="L82" s="17">
        <v>14500</v>
      </c>
      <c r="M82" s="18">
        <v>0.22</v>
      </c>
      <c r="N82" s="19" t="s">
        <v>27</v>
      </c>
      <c r="O82" s="21" t="s">
        <v>283</v>
      </c>
      <c r="P82" s="20" t="s">
        <v>29</v>
      </c>
    </row>
    <row r="83" spans="2:20" ht="80.099999999999994" customHeight="1">
      <c r="B83" s="71"/>
      <c r="C83" s="76"/>
      <c r="D83" s="11" t="s">
        <v>259</v>
      </c>
      <c r="E83" s="88"/>
      <c r="F83" s="90"/>
      <c r="G83" s="75"/>
      <c r="H83" s="94"/>
      <c r="I83" s="90"/>
      <c r="J83" s="98"/>
      <c r="K83" s="33">
        <f t="shared" si="5"/>
        <v>6396</v>
      </c>
      <c r="L83" s="17">
        <v>8200</v>
      </c>
      <c r="M83" s="18">
        <v>0.22</v>
      </c>
      <c r="N83" s="19" t="s">
        <v>27</v>
      </c>
      <c r="O83" s="21" t="s">
        <v>284</v>
      </c>
      <c r="P83" s="20" t="s">
        <v>29</v>
      </c>
    </row>
    <row r="84" spans="2:20" ht="80.099999999999994" customHeight="1">
      <c r="B84" s="70">
        <v>67</v>
      </c>
      <c r="C84" s="77" t="s">
        <v>285</v>
      </c>
      <c r="D84" s="11" t="s">
        <v>254</v>
      </c>
      <c r="E84" s="87"/>
      <c r="F84" s="74" t="s">
        <v>286</v>
      </c>
      <c r="G84" s="74" t="s">
        <v>23</v>
      </c>
      <c r="H84" s="93" t="s">
        <v>251</v>
      </c>
      <c r="I84" s="96" t="s">
        <v>263</v>
      </c>
      <c r="J84" s="97" t="s">
        <v>282</v>
      </c>
      <c r="K84" s="33">
        <f t="shared" si="5"/>
        <v>15210</v>
      </c>
      <c r="L84" s="17">
        <v>19500</v>
      </c>
      <c r="M84" s="18">
        <v>0.22</v>
      </c>
      <c r="N84" s="19" t="s">
        <v>27</v>
      </c>
      <c r="O84" s="21" t="s">
        <v>287</v>
      </c>
      <c r="P84" s="20" t="s">
        <v>29</v>
      </c>
    </row>
    <row r="85" spans="2:20" ht="80.099999999999994" customHeight="1">
      <c r="B85" s="71"/>
      <c r="C85" s="77"/>
      <c r="D85" s="11" t="s">
        <v>259</v>
      </c>
      <c r="E85" s="88"/>
      <c r="F85" s="90"/>
      <c r="G85" s="75"/>
      <c r="H85" s="94"/>
      <c r="I85" s="90"/>
      <c r="J85" s="98"/>
      <c r="K85" s="33">
        <f t="shared" si="5"/>
        <v>9750</v>
      </c>
      <c r="L85" s="17">
        <v>12500</v>
      </c>
      <c r="M85" s="18">
        <v>0.22</v>
      </c>
      <c r="N85" s="19" t="s">
        <v>27</v>
      </c>
      <c r="O85" s="21" t="s">
        <v>288</v>
      </c>
      <c r="P85" s="20" t="s">
        <v>29</v>
      </c>
    </row>
    <row r="86" spans="2:20" s="1" customFormat="1" ht="80.099999999999994" customHeight="1">
      <c r="B86" s="68">
        <v>68</v>
      </c>
      <c r="C86" s="78" t="s">
        <v>289</v>
      </c>
      <c r="D86" s="35"/>
      <c r="E86" s="85"/>
      <c r="F86" s="72" t="s">
        <v>290</v>
      </c>
      <c r="G86" s="72" t="s">
        <v>23</v>
      </c>
      <c r="H86" s="91" t="s">
        <v>251</v>
      </c>
      <c r="I86" s="72" t="s">
        <v>291</v>
      </c>
      <c r="J86" s="99" t="s">
        <v>282</v>
      </c>
      <c r="K86" s="29"/>
      <c r="L86" s="30">
        <v>75000</v>
      </c>
      <c r="M86" s="31">
        <v>0.22</v>
      </c>
      <c r="N86" s="19" t="s">
        <v>27</v>
      </c>
      <c r="O86" s="21" t="s">
        <v>292</v>
      </c>
      <c r="P86" s="20" t="s">
        <v>29</v>
      </c>
      <c r="Q86" s="32"/>
      <c r="R86" s="32"/>
      <c r="S86" s="32"/>
      <c r="T86" s="32"/>
    </row>
    <row r="87" spans="2:20" s="1" customFormat="1" ht="80.099999999999994" customHeight="1">
      <c r="B87" s="69"/>
      <c r="C87" s="78"/>
      <c r="D87" s="28" t="s">
        <v>259</v>
      </c>
      <c r="E87" s="86"/>
      <c r="F87" s="73"/>
      <c r="G87" s="73"/>
      <c r="H87" s="92"/>
      <c r="I87" s="73"/>
      <c r="J87" s="100"/>
      <c r="K87" s="29">
        <f>L87*(1-22%)</f>
        <v>0</v>
      </c>
      <c r="L87" s="30"/>
      <c r="M87" s="31">
        <v>0.22</v>
      </c>
      <c r="N87" s="19" t="s">
        <v>27</v>
      </c>
      <c r="O87" s="21" t="s">
        <v>293</v>
      </c>
      <c r="P87" s="20" t="s">
        <v>29</v>
      </c>
      <c r="Q87" s="32"/>
      <c r="R87" s="32"/>
      <c r="S87" s="32"/>
      <c r="T87" s="32"/>
    </row>
    <row r="88" spans="2:20" ht="50.1" customHeight="1">
      <c r="B88" s="63" t="s">
        <v>251</v>
      </c>
      <c r="C88" s="64"/>
      <c r="D88" s="64"/>
      <c r="E88" s="64"/>
      <c r="F88" s="64"/>
      <c r="G88" s="64"/>
      <c r="H88" s="64"/>
      <c r="I88" s="64"/>
      <c r="J88" s="64"/>
      <c r="K88" s="64"/>
      <c r="L88" s="64"/>
      <c r="M88" s="65"/>
      <c r="N88" s="19" t="s">
        <v>27</v>
      </c>
      <c r="O88" s="21" t="s">
        <v>294</v>
      </c>
      <c r="P88" s="20" t="s">
        <v>29</v>
      </c>
    </row>
    <row r="89" spans="2:20" s="1" customFormat="1" ht="80.099999999999994" customHeight="1">
      <c r="B89" s="36">
        <v>69</v>
      </c>
      <c r="C89" s="28" t="s">
        <v>295</v>
      </c>
      <c r="D89" s="28" t="s">
        <v>254</v>
      </c>
      <c r="E89" s="85"/>
      <c r="F89" s="28" t="s">
        <v>296</v>
      </c>
      <c r="G89" s="37" t="s">
        <v>23</v>
      </c>
      <c r="H89" s="38" t="s">
        <v>251</v>
      </c>
      <c r="I89" s="39" t="s">
        <v>291</v>
      </c>
      <c r="J89" s="34" t="s">
        <v>269</v>
      </c>
      <c r="K89" s="40">
        <f>L89*(1-0.22)</f>
        <v>30264</v>
      </c>
      <c r="L89" s="41">
        <v>38800</v>
      </c>
      <c r="M89" s="31">
        <v>0.22</v>
      </c>
      <c r="N89" s="19" t="s">
        <v>27</v>
      </c>
      <c r="O89" s="21" t="s">
        <v>297</v>
      </c>
      <c r="P89" s="20" t="s">
        <v>29</v>
      </c>
      <c r="Q89" s="32"/>
      <c r="R89" s="32"/>
      <c r="S89" s="32"/>
      <c r="T89" s="32"/>
    </row>
    <row r="90" spans="2:20" s="1" customFormat="1" ht="80.099999999999994" customHeight="1">
      <c r="B90" s="36">
        <v>70</v>
      </c>
      <c r="C90" s="28" t="s">
        <v>298</v>
      </c>
      <c r="D90" s="28" t="s">
        <v>299</v>
      </c>
      <c r="E90" s="86"/>
      <c r="F90" s="28" t="s">
        <v>296</v>
      </c>
      <c r="G90" s="28" t="s">
        <v>23</v>
      </c>
      <c r="H90" s="42" t="s">
        <v>251</v>
      </c>
      <c r="I90" s="28" t="s">
        <v>291</v>
      </c>
      <c r="J90" s="34" t="s">
        <v>269</v>
      </c>
      <c r="K90" s="40">
        <f>L90*(1-0.22)</f>
        <v>30420</v>
      </c>
      <c r="L90" s="41">
        <v>39000</v>
      </c>
      <c r="M90" s="31">
        <v>0.22</v>
      </c>
      <c r="N90" s="19" t="s">
        <v>27</v>
      </c>
      <c r="O90" s="21" t="s">
        <v>300</v>
      </c>
      <c r="P90" s="20" t="s">
        <v>29</v>
      </c>
      <c r="Q90" s="32"/>
      <c r="R90" s="32"/>
      <c r="S90" s="32"/>
      <c r="T90" s="32"/>
    </row>
    <row r="91" spans="2:20" ht="50.1" customHeight="1">
      <c r="B91" s="63" t="s">
        <v>301</v>
      </c>
      <c r="C91" s="64"/>
      <c r="D91" s="64"/>
      <c r="E91" s="64"/>
      <c r="F91" s="64"/>
      <c r="G91" s="64"/>
      <c r="H91" s="64"/>
      <c r="I91" s="64"/>
      <c r="J91" s="64"/>
      <c r="K91" s="64"/>
      <c r="L91" s="64"/>
      <c r="M91" s="65"/>
      <c r="N91" s="19" t="s">
        <v>27</v>
      </c>
      <c r="O91" s="21" t="s">
        <v>302</v>
      </c>
      <c r="P91" s="20" t="s">
        <v>29</v>
      </c>
    </row>
    <row r="92" spans="2:20" s="1" customFormat="1" ht="80.099999999999994" customHeight="1">
      <c r="B92" s="36">
        <v>71</v>
      </c>
      <c r="C92" s="28" t="s">
        <v>303</v>
      </c>
      <c r="D92" s="28" t="s">
        <v>304</v>
      </c>
      <c r="E92" s="41"/>
      <c r="F92" s="28" t="s">
        <v>305</v>
      </c>
      <c r="G92" s="28" t="s">
        <v>23</v>
      </c>
      <c r="H92" s="43" t="s">
        <v>306</v>
      </c>
      <c r="I92" s="28" t="s">
        <v>291</v>
      </c>
      <c r="J92" s="28" t="s">
        <v>257</v>
      </c>
      <c r="K92" s="44">
        <f t="shared" ref="K92:K111" si="6">L92*(1-22%)</f>
        <v>24960</v>
      </c>
      <c r="L92" s="45">
        <v>32000</v>
      </c>
      <c r="M92" s="31">
        <v>0.22</v>
      </c>
      <c r="N92" s="19" t="s">
        <v>27</v>
      </c>
      <c r="O92" s="21" t="s">
        <v>307</v>
      </c>
      <c r="P92" s="20" t="s">
        <v>29</v>
      </c>
      <c r="Q92" s="32"/>
      <c r="R92" s="32"/>
      <c r="S92" s="32"/>
      <c r="T92" s="32"/>
    </row>
    <row r="93" spans="2:20" s="1" customFormat="1" ht="80.099999999999994" customHeight="1">
      <c r="B93" s="36">
        <v>72</v>
      </c>
      <c r="C93" s="28" t="s">
        <v>308</v>
      </c>
      <c r="D93" s="28" t="s">
        <v>304</v>
      </c>
      <c r="E93" s="41"/>
      <c r="F93" s="28" t="s">
        <v>309</v>
      </c>
      <c r="G93" s="28" t="s">
        <v>23</v>
      </c>
      <c r="H93" s="43" t="s">
        <v>306</v>
      </c>
      <c r="I93" s="28" t="s">
        <v>291</v>
      </c>
      <c r="J93" s="28" t="s">
        <v>257</v>
      </c>
      <c r="K93" s="44">
        <f t="shared" si="6"/>
        <v>24960</v>
      </c>
      <c r="L93" s="45">
        <v>32000</v>
      </c>
      <c r="M93" s="31">
        <v>0.22</v>
      </c>
      <c r="N93" s="19" t="s">
        <v>27</v>
      </c>
      <c r="O93" s="21" t="s">
        <v>310</v>
      </c>
      <c r="P93" s="20" t="s">
        <v>29</v>
      </c>
      <c r="Q93" s="32"/>
      <c r="R93" s="32"/>
      <c r="S93" s="32"/>
      <c r="T93" s="32"/>
    </row>
    <row r="94" spans="2:20" s="1" customFormat="1" ht="80.099999999999994" customHeight="1">
      <c r="B94" s="36">
        <v>73</v>
      </c>
      <c r="C94" s="28" t="s">
        <v>311</v>
      </c>
      <c r="D94" s="28" t="s">
        <v>304</v>
      </c>
      <c r="E94" s="41"/>
      <c r="F94" s="28" t="s">
        <v>309</v>
      </c>
      <c r="G94" s="28" t="s">
        <v>23</v>
      </c>
      <c r="H94" s="43" t="s">
        <v>306</v>
      </c>
      <c r="I94" s="28" t="s">
        <v>291</v>
      </c>
      <c r="J94" s="28" t="s">
        <v>257</v>
      </c>
      <c r="K94" s="44">
        <f t="shared" si="6"/>
        <v>24960</v>
      </c>
      <c r="L94" s="45">
        <v>32000</v>
      </c>
      <c r="M94" s="31">
        <v>0.22</v>
      </c>
      <c r="N94" s="19" t="s">
        <v>27</v>
      </c>
      <c r="O94" s="21" t="s">
        <v>312</v>
      </c>
      <c r="P94" s="20" t="s">
        <v>29</v>
      </c>
      <c r="Q94" s="32"/>
      <c r="R94" s="32"/>
      <c r="S94" s="32"/>
      <c r="T94" s="32"/>
    </row>
    <row r="95" spans="2:20" s="1" customFormat="1" ht="80.099999999999994" customHeight="1">
      <c r="B95" s="36">
        <v>74</v>
      </c>
      <c r="C95" s="28" t="s">
        <v>313</v>
      </c>
      <c r="D95" s="28" t="s">
        <v>304</v>
      </c>
      <c r="E95" s="41"/>
      <c r="F95" s="28" t="s">
        <v>314</v>
      </c>
      <c r="G95" s="28" t="s">
        <v>23</v>
      </c>
      <c r="H95" s="43" t="s">
        <v>306</v>
      </c>
      <c r="I95" s="28" t="s">
        <v>291</v>
      </c>
      <c r="J95" s="28" t="s">
        <v>257</v>
      </c>
      <c r="K95" s="44">
        <f t="shared" si="6"/>
        <v>24960</v>
      </c>
      <c r="L95" s="45">
        <v>32000</v>
      </c>
      <c r="M95" s="31">
        <v>0.22</v>
      </c>
      <c r="N95" s="19" t="s">
        <v>27</v>
      </c>
      <c r="O95" s="21" t="s">
        <v>315</v>
      </c>
      <c r="P95" s="20" t="s">
        <v>29</v>
      </c>
      <c r="Q95" s="32"/>
      <c r="R95" s="32"/>
      <c r="S95" s="32"/>
      <c r="T95" s="32"/>
    </row>
    <row r="96" spans="2:20" ht="80.099999999999994" customHeight="1">
      <c r="B96" s="10">
        <v>75</v>
      </c>
      <c r="C96" s="11" t="s">
        <v>316</v>
      </c>
      <c r="D96" s="11" t="s">
        <v>304</v>
      </c>
      <c r="E96" s="12"/>
      <c r="F96" s="11" t="s">
        <v>317</v>
      </c>
      <c r="G96" s="11" t="s">
        <v>23</v>
      </c>
      <c r="H96" s="22" t="s">
        <v>306</v>
      </c>
      <c r="I96" s="11" t="s">
        <v>291</v>
      </c>
      <c r="J96" s="11" t="s">
        <v>257</v>
      </c>
      <c r="K96" s="46">
        <f t="shared" si="6"/>
        <v>14040</v>
      </c>
      <c r="L96" s="47">
        <v>18000</v>
      </c>
      <c r="M96" s="18">
        <v>0.22</v>
      </c>
      <c r="N96" s="19" t="s">
        <v>27</v>
      </c>
      <c r="O96" s="21" t="s">
        <v>318</v>
      </c>
      <c r="P96" s="20" t="s">
        <v>29</v>
      </c>
    </row>
    <row r="97" spans="2:20" s="1" customFormat="1" ht="80.099999999999994" customHeight="1">
      <c r="B97" s="36">
        <v>76</v>
      </c>
      <c r="C97" s="28" t="s">
        <v>319</v>
      </c>
      <c r="D97" s="28" t="s">
        <v>304</v>
      </c>
      <c r="E97" s="41"/>
      <c r="F97" s="28" t="s">
        <v>320</v>
      </c>
      <c r="G97" s="28" t="s">
        <v>23</v>
      </c>
      <c r="H97" s="43" t="s">
        <v>306</v>
      </c>
      <c r="I97" s="28" t="s">
        <v>291</v>
      </c>
      <c r="J97" s="28" t="s">
        <v>257</v>
      </c>
      <c r="K97" s="44">
        <f t="shared" si="6"/>
        <v>24960</v>
      </c>
      <c r="L97" s="45">
        <v>32000</v>
      </c>
      <c r="M97" s="31">
        <v>0.22</v>
      </c>
      <c r="N97" s="19" t="s">
        <v>27</v>
      </c>
      <c r="O97" s="21" t="s">
        <v>321</v>
      </c>
      <c r="P97" s="20" t="s">
        <v>29</v>
      </c>
      <c r="Q97" s="32"/>
      <c r="R97" s="32"/>
      <c r="S97" s="32"/>
      <c r="T97" s="32"/>
    </row>
    <row r="98" spans="2:20" s="1" customFormat="1" ht="80.099999999999994" customHeight="1">
      <c r="B98" s="36">
        <v>77</v>
      </c>
      <c r="C98" s="28" t="s">
        <v>322</v>
      </c>
      <c r="D98" s="28" t="s">
        <v>304</v>
      </c>
      <c r="E98" s="41"/>
      <c r="F98" s="28" t="s">
        <v>317</v>
      </c>
      <c r="G98" s="28" t="s">
        <v>23</v>
      </c>
      <c r="H98" s="43" t="s">
        <v>306</v>
      </c>
      <c r="I98" s="28" t="s">
        <v>291</v>
      </c>
      <c r="J98" s="28" t="s">
        <v>257</v>
      </c>
      <c r="K98" s="44">
        <f t="shared" si="6"/>
        <v>14040</v>
      </c>
      <c r="L98" s="45">
        <v>18000</v>
      </c>
      <c r="M98" s="31">
        <v>0.22</v>
      </c>
      <c r="N98" s="19" t="s">
        <v>27</v>
      </c>
      <c r="O98" s="21" t="s">
        <v>323</v>
      </c>
      <c r="P98" s="20" t="s">
        <v>29</v>
      </c>
      <c r="Q98" s="32"/>
      <c r="R98" s="32"/>
      <c r="S98" s="32"/>
      <c r="T98" s="32"/>
    </row>
    <row r="99" spans="2:20" s="1" customFormat="1" ht="80.099999999999994" customHeight="1">
      <c r="B99" s="36">
        <v>78</v>
      </c>
      <c r="C99" s="28" t="s">
        <v>324</v>
      </c>
      <c r="D99" s="28" t="s">
        <v>304</v>
      </c>
      <c r="E99" s="41"/>
      <c r="F99" s="28" t="s">
        <v>325</v>
      </c>
      <c r="G99" s="28" t="s">
        <v>23</v>
      </c>
      <c r="H99" s="43" t="s">
        <v>306</v>
      </c>
      <c r="I99" s="28" t="s">
        <v>291</v>
      </c>
      <c r="J99" s="28" t="s">
        <v>257</v>
      </c>
      <c r="K99" s="44">
        <f t="shared" si="6"/>
        <v>24960</v>
      </c>
      <c r="L99" s="45">
        <v>32000</v>
      </c>
      <c r="M99" s="31">
        <v>0.22</v>
      </c>
      <c r="N99" s="19" t="s">
        <v>27</v>
      </c>
      <c r="O99" s="21" t="s">
        <v>326</v>
      </c>
      <c r="P99" s="20" t="s">
        <v>29</v>
      </c>
      <c r="Q99" s="32"/>
      <c r="R99" s="32"/>
      <c r="S99" s="32"/>
      <c r="T99" s="32"/>
    </row>
    <row r="100" spans="2:20" s="1" customFormat="1" ht="80.099999999999994" customHeight="1">
      <c r="B100" s="36">
        <v>79</v>
      </c>
      <c r="C100" s="28" t="s">
        <v>324</v>
      </c>
      <c r="D100" s="28" t="s">
        <v>304</v>
      </c>
      <c r="E100" s="41"/>
      <c r="F100" s="28" t="s">
        <v>327</v>
      </c>
      <c r="G100" s="28" t="s">
        <v>23</v>
      </c>
      <c r="H100" s="43" t="s">
        <v>306</v>
      </c>
      <c r="I100" s="28" t="s">
        <v>291</v>
      </c>
      <c r="J100" s="28" t="s">
        <v>257</v>
      </c>
      <c r="K100" s="44">
        <f t="shared" si="6"/>
        <v>24960</v>
      </c>
      <c r="L100" s="45">
        <v>32000</v>
      </c>
      <c r="M100" s="31">
        <v>0.22</v>
      </c>
      <c r="N100" s="19" t="s">
        <v>27</v>
      </c>
      <c r="O100" s="21" t="s">
        <v>328</v>
      </c>
      <c r="P100" s="20" t="s">
        <v>29</v>
      </c>
      <c r="Q100" s="32"/>
      <c r="R100" s="32"/>
      <c r="S100" s="32"/>
      <c r="T100" s="32"/>
    </row>
    <row r="101" spans="2:20" ht="80.099999999999994" customHeight="1">
      <c r="B101" s="10">
        <v>80</v>
      </c>
      <c r="C101" s="11" t="s">
        <v>329</v>
      </c>
      <c r="D101" s="11" t="s">
        <v>304</v>
      </c>
      <c r="E101" s="12"/>
      <c r="F101" s="11" t="s">
        <v>330</v>
      </c>
      <c r="G101" s="11" t="s">
        <v>23</v>
      </c>
      <c r="H101" s="22" t="s">
        <v>306</v>
      </c>
      <c r="I101" s="11" t="s">
        <v>291</v>
      </c>
      <c r="J101" s="11" t="s">
        <v>257</v>
      </c>
      <c r="K101" s="46">
        <f t="shared" si="6"/>
        <v>29640</v>
      </c>
      <c r="L101" s="47">
        <v>38000</v>
      </c>
      <c r="M101" s="18">
        <v>0.22</v>
      </c>
      <c r="N101" s="19" t="s">
        <v>27</v>
      </c>
      <c r="O101" s="21" t="s">
        <v>331</v>
      </c>
      <c r="P101" s="20" t="s">
        <v>29</v>
      </c>
    </row>
    <row r="102" spans="2:20" ht="80.099999999999994" customHeight="1">
      <c r="B102" s="10">
        <v>81</v>
      </c>
      <c r="C102" s="11" t="s">
        <v>332</v>
      </c>
      <c r="D102" s="11" t="s">
        <v>304</v>
      </c>
      <c r="E102" s="12"/>
      <c r="F102" s="11" t="s">
        <v>333</v>
      </c>
      <c r="G102" s="11" t="s">
        <v>334</v>
      </c>
      <c r="H102" s="22" t="s">
        <v>306</v>
      </c>
      <c r="I102" s="11" t="s">
        <v>291</v>
      </c>
      <c r="J102" s="11" t="s">
        <v>257</v>
      </c>
      <c r="K102" s="46">
        <f t="shared" si="6"/>
        <v>17706</v>
      </c>
      <c r="L102" s="47">
        <v>22700</v>
      </c>
      <c r="M102" s="18">
        <v>0.22</v>
      </c>
      <c r="N102" s="19" t="s">
        <v>27</v>
      </c>
      <c r="O102" s="21" t="s">
        <v>335</v>
      </c>
      <c r="P102" s="20" t="s">
        <v>29</v>
      </c>
    </row>
    <row r="103" spans="2:20" ht="80.099999999999994" customHeight="1">
      <c r="B103" s="10">
        <v>82</v>
      </c>
      <c r="C103" s="11" t="s">
        <v>336</v>
      </c>
      <c r="D103" s="11" t="s">
        <v>304</v>
      </c>
      <c r="E103" s="12"/>
      <c r="F103" s="11" t="s">
        <v>337</v>
      </c>
      <c r="G103" s="11" t="s">
        <v>23</v>
      </c>
      <c r="H103" s="22" t="s">
        <v>306</v>
      </c>
      <c r="I103" s="11" t="s">
        <v>291</v>
      </c>
      <c r="J103" s="11" t="s">
        <v>257</v>
      </c>
      <c r="K103" s="46">
        <f t="shared" si="6"/>
        <v>17550</v>
      </c>
      <c r="L103" s="47">
        <v>22500</v>
      </c>
      <c r="M103" s="18">
        <v>0.22</v>
      </c>
      <c r="N103" s="19" t="s">
        <v>27</v>
      </c>
      <c r="O103" s="21" t="s">
        <v>338</v>
      </c>
      <c r="P103" s="20" t="s">
        <v>29</v>
      </c>
    </row>
    <row r="104" spans="2:20" ht="80.099999999999994" customHeight="1">
      <c r="B104" s="10">
        <v>83</v>
      </c>
      <c r="C104" s="11" t="s">
        <v>339</v>
      </c>
      <c r="D104" s="11" t="s">
        <v>304</v>
      </c>
      <c r="E104" s="12"/>
      <c r="F104" s="11" t="s">
        <v>327</v>
      </c>
      <c r="G104" s="11" t="s">
        <v>23</v>
      </c>
      <c r="H104" s="22" t="s">
        <v>306</v>
      </c>
      <c r="I104" s="11" t="s">
        <v>291</v>
      </c>
      <c r="J104" s="11" t="s">
        <v>257</v>
      </c>
      <c r="K104" s="46">
        <f t="shared" si="6"/>
        <v>12090</v>
      </c>
      <c r="L104" s="47">
        <v>15500</v>
      </c>
      <c r="M104" s="18">
        <v>0.22</v>
      </c>
      <c r="N104" s="19" t="s">
        <v>27</v>
      </c>
      <c r="O104" s="21" t="s">
        <v>340</v>
      </c>
      <c r="P104" s="20" t="s">
        <v>29</v>
      </c>
    </row>
    <row r="105" spans="2:20" ht="80.099999999999994" customHeight="1">
      <c r="B105" s="10">
        <v>84</v>
      </c>
      <c r="C105" s="11" t="s">
        <v>341</v>
      </c>
      <c r="D105" s="11" t="s">
        <v>304</v>
      </c>
      <c r="E105" s="12"/>
      <c r="F105" s="11" t="s">
        <v>342</v>
      </c>
      <c r="G105" s="11" t="s">
        <v>23</v>
      </c>
      <c r="H105" s="22" t="s">
        <v>306</v>
      </c>
      <c r="I105" s="11" t="s">
        <v>291</v>
      </c>
      <c r="J105" s="11" t="s">
        <v>257</v>
      </c>
      <c r="K105" s="46">
        <f t="shared" si="6"/>
        <v>11700</v>
      </c>
      <c r="L105" s="47">
        <v>15000</v>
      </c>
      <c r="M105" s="18">
        <v>0.22</v>
      </c>
      <c r="N105" s="19" t="s">
        <v>27</v>
      </c>
      <c r="O105" s="21" t="s">
        <v>343</v>
      </c>
      <c r="P105" s="20" t="s">
        <v>29</v>
      </c>
    </row>
    <row r="106" spans="2:20" s="1" customFormat="1" ht="80.099999999999994" customHeight="1">
      <c r="B106" s="36">
        <v>85</v>
      </c>
      <c r="C106" s="28" t="s">
        <v>344</v>
      </c>
      <c r="D106" s="28" t="s">
        <v>304</v>
      </c>
      <c r="E106" s="41"/>
      <c r="F106" s="28" t="s">
        <v>345</v>
      </c>
      <c r="G106" s="28" t="s">
        <v>23</v>
      </c>
      <c r="H106" s="43" t="s">
        <v>306</v>
      </c>
      <c r="I106" s="28" t="s">
        <v>291</v>
      </c>
      <c r="J106" s="28" t="s">
        <v>257</v>
      </c>
      <c r="K106" s="44">
        <f t="shared" si="6"/>
        <v>14430</v>
      </c>
      <c r="L106" s="45">
        <v>18500</v>
      </c>
      <c r="M106" s="31">
        <v>0.22</v>
      </c>
      <c r="N106" s="19" t="s">
        <v>27</v>
      </c>
      <c r="O106" s="21" t="s">
        <v>346</v>
      </c>
      <c r="P106" s="20" t="s">
        <v>29</v>
      </c>
      <c r="Q106" s="32"/>
      <c r="R106" s="32"/>
      <c r="S106" s="32"/>
      <c r="T106" s="32"/>
    </row>
    <row r="107" spans="2:20" s="1" customFormat="1" ht="80.099999999999994" customHeight="1">
      <c r="B107" s="36">
        <v>86</v>
      </c>
      <c r="C107" s="28" t="s">
        <v>347</v>
      </c>
      <c r="D107" s="28" t="s">
        <v>304</v>
      </c>
      <c r="E107" s="41"/>
      <c r="F107" s="28" t="s">
        <v>345</v>
      </c>
      <c r="G107" s="28" t="s">
        <v>23</v>
      </c>
      <c r="H107" s="43" t="s">
        <v>306</v>
      </c>
      <c r="I107" s="28" t="s">
        <v>291</v>
      </c>
      <c r="J107" s="28" t="s">
        <v>257</v>
      </c>
      <c r="K107" s="44">
        <f t="shared" si="6"/>
        <v>13260</v>
      </c>
      <c r="L107" s="45">
        <v>17000</v>
      </c>
      <c r="M107" s="31">
        <v>0.22</v>
      </c>
      <c r="N107" s="19" t="s">
        <v>27</v>
      </c>
      <c r="O107" s="21" t="s">
        <v>348</v>
      </c>
      <c r="P107" s="20" t="s">
        <v>29</v>
      </c>
      <c r="Q107" s="32"/>
      <c r="R107" s="32"/>
      <c r="S107" s="32"/>
      <c r="T107" s="32"/>
    </row>
    <row r="108" spans="2:20" s="1" customFormat="1" ht="80.099999999999994" customHeight="1">
      <c r="B108" s="36">
        <v>87</v>
      </c>
      <c r="C108" s="28" t="s">
        <v>349</v>
      </c>
      <c r="D108" s="28" t="s">
        <v>304</v>
      </c>
      <c r="E108" s="41"/>
      <c r="F108" s="28" t="s">
        <v>345</v>
      </c>
      <c r="G108" s="28" t="s">
        <v>23</v>
      </c>
      <c r="H108" s="43" t="s">
        <v>306</v>
      </c>
      <c r="I108" s="28" t="s">
        <v>291</v>
      </c>
      <c r="J108" s="28" t="s">
        <v>257</v>
      </c>
      <c r="K108" s="44">
        <f t="shared" si="6"/>
        <v>13260</v>
      </c>
      <c r="L108" s="45">
        <v>17000</v>
      </c>
      <c r="M108" s="31">
        <v>0.22</v>
      </c>
      <c r="N108" s="19" t="s">
        <v>27</v>
      </c>
      <c r="O108" s="21" t="s">
        <v>350</v>
      </c>
      <c r="P108" s="20" t="s">
        <v>29</v>
      </c>
      <c r="Q108" s="32"/>
      <c r="R108" s="32"/>
      <c r="S108" s="32"/>
      <c r="T108" s="32"/>
    </row>
    <row r="109" spans="2:20" ht="80.099999999999994" customHeight="1">
      <c r="B109" s="10">
        <v>88</v>
      </c>
      <c r="C109" s="11" t="s">
        <v>351</v>
      </c>
      <c r="D109" s="11" t="s">
        <v>304</v>
      </c>
      <c r="E109" s="12"/>
      <c r="F109" s="11" t="s">
        <v>352</v>
      </c>
      <c r="G109" s="11" t="s">
        <v>23</v>
      </c>
      <c r="H109" s="22" t="s">
        <v>306</v>
      </c>
      <c r="I109" s="11" t="s">
        <v>291</v>
      </c>
      <c r="J109" s="11" t="s">
        <v>42</v>
      </c>
      <c r="K109" s="46">
        <f t="shared" si="6"/>
        <v>11310</v>
      </c>
      <c r="L109" s="47">
        <v>14500</v>
      </c>
      <c r="M109" s="18">
        <v>0.22</v>
      </c>
      <c r="N109" s="19" t="s">
        <v>27</v>
      </c>
      <c r="O109" s="21" t="s">
        <v>353</v>
      </c>
      <c r="P109" s="20" t="s">
        <v>29</v>
      </c>
    </row>
    <row r="110" spans="2:20" ht="80.099999999999994" customHeight="1">
      <c r="B110" s="10">
        <v>89</v>
      </c>
      <c r="C110" s="11" t="s">
        <v>354</v>
      </c>
      <c r="D110" s="11" t="s">
        <v>304</v>
      </c>
      <c r="E110" s="12"/>
      <c r="F110" s="11" t="s">
        <v>355</v>
      </c>
      <c r="G110" s="11" t="s">
        <v>23</v>
      </c>
      <c r="H110" s="22" t="s">
        <v>306</v>
      </c>
      <c r="I110" s="11" t="s">
        <v>291</v>
      </c>
      <c r="J110" s="11" t="s">
        <v>42</v>
      </c>
      <c r="K110" s="46">
        <f t="shared" si="6"/>
        <v>13650</v>
      </c>
      <c r="L110" s="47">
        <v>17500</v>
      </c>
      <c r="M110" s="18">
        <v>0.22</v>
      </c>
      <c r="N110" s="19" t="s">
        <v>27</v>
      </c>
      <c r="O110" s="21" t="s">
        <v>356</v>
      </c>
      <c r="P110" s="20" t="s">
        <v>29</v>
      </c>
    </row>
    <row r="111" spans="2:20" ht="80.099999999999994" customHeight="1">
      <c r="B111" s="10">
        <v>90</v>
      </c>
      <c r="C111" s="11" t="s">
        <v>357</v>
      </c>
      <c r="D111" s="11" t="s">
        <v>304</v>
      </c>
      <c r="E111" s="12"/>
      <c r="F111" s="11" t="s">
        <v>352</v>
      </c>
      <c r="G111" s="11" t="s">
        <v>23</v>
      </c>
      <c r="H111" s="22" t="s">
        <v>306</v>
      </c>
      <c r="I111" s="11" t="s">
        <v>291</v>
      </c>
      <c r="J111" s="11" t="s">
        <v>42</v>
      </c>
      <c r="K111" s="46">
        <f t="shared" si="6"/>
        <v>12558</v>
      </c>
      <c r="L111" s="47">
        <v>16100</v>
      </c>
      <c r="M111" s="18">
        <v>0.22</v>
      </c>
      <c r="N111" s="19" t="s">
        <v>27</v>
      </c>
      <c r="O111" s="21" t="s">
        <v>358</v>
      </c>
      <c r="P111" s="20" t="s">
        <v>29</v>
      </c>
    </row>
    <row r="112" spans="2:20" ht="50.1" customHeight="1">
      <c r="B112" s="63" t="s">
        <v>359</v>
      </c>
      <c r="C112" s="64"/>
      <c r="D112" s="64"/>
      <c r="E112" s="64"/>
      <c r="F112" s="64"/>
      <c r="G112" s="64"/>
      <c r="H112" s="64"/>
      <c r="I112" s="64"/>
      <c r="J112" s="64"/>
      <c r="K112" s="64"/>
      <c r="L112" s="64"/>
      <c r="M112" s="65"/>
      <c r="N112" s="19" t="s">
        <v>27</v>
      </c>
      <c r="O112" s="21" t="s">
        <v>360</v>
      </c>
      <c r="P112" s="20" t="s">
        <v>29</v>
      </c>
    </row>
    <row r="113" spans="2:20" ht="90" customHeight="1">
      <c r="B113" s="10">
        <v>91</v>
      </c>
      <c r="C113" s="11" t="s">
        <v>361</v>
      </c>
      <c r="D113" s="11" t="s">
        <v>362</v>
      </c>
      <c r="E113" s="12"/>
      <c r="F113" s="48" t="s">
        <v>363</v>
      </c>
      <c r="G113" s="11" t="s">
        <v>23</v>
      </c>
      <c r="H113" s="22" t="s">
        <v>306</v>
      </c>
      <c r="I113" s="11" t="s">
        <v>291</v>
      </c>
      <c r="J113" s="11" t="s">
        <v>364</v>
      </c>
      <c r="K113" s="46">
        <f t="shared" ref="K113:K130" si="7">L113*(1-22%)</f>
        <v>25896</v>
      </c>
      <c r="L113" s="47">
        <v>33200</v>
      </c>
      <c r="M113" s="18">
        <v>0.22</v>
      </c>
      <c r="N113" s="19" t="s">
        <v>27</v>
      </c>
      <c r="O113" s="21" t="s">
        <v>365</v>
      </c>
      <c r="P113" s="20" t="s">
        <v>29</v>
      </c>
    </row>
    <row r="114" spans="2:20" ht="90" customHeight="1">
      <c r="B114" s="10">
        <v>92</v>
      </c>
      <c r="C114" s="11" t="s">
        <v>366</v>
      </c>
      <c r="D114" s="11" t="s">
        <v>362</v>
      </c>
      <c r="E114" s="12"/>
      <c r="F114" s="48" t="s">
        <v>367</v>
      </c>
      <c r="G114" s="11" t="s">
        <v>23</v>
      </c>
      <c r="H114" s="22" t="s">
        <v>306</v>
      </c>
      <c r="I114" s="11" t="s">
        <v>291</v>
      </c>
      <c r="J114" s="11" t="s">
        <v>364</v>
      </c>
      <c r="K114" s="46">
        <f t="shared" si="7"/>
        <v>17316</v>
      </c>
      <c r="L114" s="47">
        <v>22200</v>
      </c>
      <c r="M114" s="18">
        <v>0.22</v>
      </c>
      <c r="N114" s="19" t="s">
        <v>27</v>
      </c>
      <c r="O114" s="21" t="s">
        <v>368</v>
      </c>
      <c r="P114" s="20" t="s">
        <v>29</v>
      </c>
    </row>
    <row r="115" spans="2:20" ht="90" customHeight="1">
      <c r="B115" s="10">
        <v>93</v>
      </c>
      <c r="C115" s="11" t="s">
        <v>369</v>
      </c>
      <c r="D115" s="11" t="s">
        <v>362</v>
      </c>
      <c r="E115" s="12"/>
      <c r="F115" s="48" t="s">
        <v>370</v>
      </c>
      <c r="G115" s="11" t="s">
        <v>23</v>
      </c>
      <c r="H115" s="22" t="s">
        <v>306</v>
      </c>
      <c r="I115" s="11" t="s">
        <v>291</v>
      </c>
      <c r="J115" s="11" t="s">
        <v>364</v>
      </c>
      <c r="K115" s="46">
        <f t="shared" si="7"/>
        <v>17160</v>
      </c>
      <c r="L115" s="47">
        <v>22000</v>
      </c>
      <c r="M115" s="18">
        <v>0.22</v>
      </c>
      <c r="N115" s="19" t="s">
        <v>27</v>
      </c>
      <c r="O115" s="21" t="s">
        <v>371</v>
      </c>
      <c r="P115" s="20" t="s">
        <v>29</v>
      </c>
    </row>
    <row r="116" spans="2:20" ht="90" customHeight="1">
      <c r="B116" s="10">
        <v>94</v>
      </c>
      <c r="C116" s="11" t="s">
        <v>372</v>
      </c>
      <c r="D116" s="11" t="s">
        <v>362</v>
      </c>
      <c r="E116" s="12"/>
      <c r="F116" s="48" t="s">
        <v>373</v>
      </c>
      <c r="G116" s="11" t="s">
        <v>23</v>
      </c>
      <c r="H116" s="22" t="s">
        <v>306</v>
      </c>
      <c r="I116" s="11" t="s">
        <v>291</v>
      </c>
      <c r="J116" s="11" t="s">
        <v>364</v>
      </c>
      <c r="K116" s="46">
        <f t="shared" si="7"/>
        <v>14196</v>
      </c>
      <c r="L116" s="47">
        <v>18200</v>
      </c>
      <c r="M116" s="18">
        <v>0.22</v>
      </c>
      <c r="N116" s="19" t="s">
        <v>27</v>
      </c>
      <c r="O116" s="21" t="s">
        <v>374</v>
      </c>
      <c r="P116" s="20" t="s">
        <v>29</v>
      </c>
    </row>
    <row r="117" spans="2:20" ht="90" customHeight="1">
      <c r="B117" s="10">
        <v>95</v>
      </c>
      <c r="C117" s="11" t="s">
        <v>375</v>
      </c>
      <c r="D117" s="11" t="s">
        <v>362</v>
      </c>
      <c r="E117" s="12"/>
      <c r="F117" s="48" t="s">
        <v>376</v>
      </c>
      <c r="G117" s="11" t="s">
        <v>23</v>
      </c>
      <c r="H117" s="22" t="s">
        <v>306</v>
      </c>
      <c r="I117" s="11" t="s">
        <v>291</v>
      </c>
      <c r="J117" s="11" t="s">
        <v>364</v>
      </c>
      <c r="K117" s="46">
        <f t="shared" si="7"/>
        <v>15756</v>
      </c>
      <c r="L117" s="47">
        <v>20200</v>
      </c>
      <c r="M117" s="18">
        <v>0.22</v>
      </c>
      <c r="N117" s="19" t="s">
        <v>27</v>
      </c>
      <c r="O117" s="21" t="s">
        <v>377</v>
      </c>
      <c r="P117" s="20" t="s">
        <v>29</v>
      </c>
    </row>
    <row r="118" spans="2:20" ht="90" customHeight="1">
      <c r="B118" s="10">
        <v>96</v>
      </c>
      <c r="C118" s="11" t="s">
        <v>378</v>
      </c>
      <c r="D118" s="11" t="s">
        <v>362</v>
      </c>
      <c r="E118" s="12"/>
      <c r="F118" s="48" t="s">
        <v>379</v>
      </c>
      <c r="G118" s="11" t="s">
        <v>23</v>
      </c>
      <c r="H118" s="22" t="s">
        <v>306</v>
      </c>
      <c r="I118" s="11" t="s">
        <v>291</v>
      </c>
      <c r="J118" s="11" t="s">
        <v>364</v>
      </c>
      <c r="K118" s="46">
        <f t="shared" si="7"/>
        <v>12636</v>
      </c>
      <c r="L118" s="47">
        <v>16200</v>
      </c>
      <c r="M118" s="18">
        <v>0.22</v>
      </c>
      <c r="N118" s="19" t="s">
        <v>27</v>
      </c>
      <c r="O118" s="21" t="s">
        <v>380</v>
      </c>
      <c r="P118" s="20" t="s">
        <v>29</v>
      </c>
    </row>
    <row r="119" spans="2:20" s="1" customFormat="1" ht="90" customHeight="1">
      <c r="B119" s="36">
        <v>97</v>
      </c>
      <c r="C119" s="28" t="s">
        <v>381</v>
      </c>
      <c r="D119" s="28" t="s">
        <v>362</v>
      </c>
      <c r="E119" s="41"/>
      <c r="F119" s="49" t="s">
        <v>382</v>
      </c>
      <c r="G119" s="28" t="s">
        <v>23</v>
      </c>
      <c r="H119" s="43" t="s">
        <v>306</v>
      </c>
      <c r="I119" s="28" t="s">
        <v>291</v>
      </c>
      <c r="J119" s="28" t="s">
        <v>364</v>
      </c>
      <c r="K119" s="44">
        <f t="shared" si="7"/>
        <v>20280</v>
      </c>
      <c r="L119" s="45">
        <v>26000</v>
      </c>
      <c r="M119" s="31">
        <v>0.22</v>
      </c>
      <c r="N119" s="19" t="s">
        <v>27</v>
      </c>
      <c r="O119" s="21" t="s">
        <v>383</v>
      </c>
      <c r="P119" s="20" t="s">
        <v>29</v>
      </c>
      <c r="Q119" s="32"/>
      <c r="R119" s="32"/>
      <c r="S119" s="32"/>
      <c r="T119" s="32"/>
    </row>
    <row r="120" spans="2:20" s="1" customFormat="1" ht="90" customHeight="1">
      <c r="B120" s="36">
        <v>98</v>
      </c>
      <c r="C120" s="28" t="s">
        <v>384</v>
      </c>
      <c r="D120" s="28" t="s">
        <v>362</v>
      </c>
      <c r="E120" s="41"/>
      <c r="F120" s="49" t="s">
        <v>382</v>
      </c>
      <c r="G120" s="28" t="s">
        <v>23</v>
      </c>
      <c r="H120" s="43" t="s">
        <v>306</v>
      </c>
      <c r="I120" s="28" t="s">
        <v>291</v>
      </c>
      <c r="J120" s="28" t="s">
        <v>364</v>
      </c>
      <c r="K120" s="44">
        <f t="shared" si="7"/>
        <v>20280</v>
      </c>
      <c r="L120" s="45">
        <v>26000</v>
      </c>
      <c r="M120" s="31">
        <v>0.22</v>
      </c>
      <c r="N120" s="19" t="s">
        <v>27</v>
      </c>
      <c r="O120" s="21" t="s">
        <v>385</v>
      </c>
      <c r="P120" s="20" t="s">
        <v>29</v>
      </c>
      <c r="Q120" s="32"/>
      <c r="R120" s="32"/>
      <c r="S120" s="32"/>
      <c r="T120" s="32"/>
    </row>
    <row r="121" spans="2:20" s="1" customFormat="1" ht="90" customHeight="1">
      <c r="B121" s="36">
        <v>99</v>
      </c>
      <c r="C121" s="28" t="s">
        <v>386</v>
      </c>
      <c r="D121" s="28" t="s">
        <v>362</v>
      </c>
      <c r="E121" s="41"/>
      <c r="F121" s="49" t="s">
        <v>387</v>
      </c>
      <c r="G121" s="28" t="s">
        <v>23</v>
      </c>
      <c r="H121" s="43" t="s">
        <v>306</v>
      </c>
      <c r="I121" s="28" t="s">
        <v>291</v>
      </c>
      <c r="J121" s="28" t="s">
        <v>364</v>
      </c>
      <c r="K121" s="44">
        <f t="shared" si="7"/>
        <v>20280</v>
      </c>
      <c r="L121" s="45">
        <v>26000</v>
      </c>
      <c r="M121" s="31">
        <v>0.22</v>
      </c>
      <c r="N121" s="19" t="s">
        <v>27</v>
      </c>
      <c r="O121" s="21" t="s">
        <v>388</v>
      </c>
      <c r="P121" s="20" t="s">
        <v>29</v>
      </c>
      <c r="Q121" s="32"/>
      <c r="R121" s="32"/>
      <c r="S121" s="32"/>
      <c r="T121" s="32"/>
    </row>
    <row r="122" spans="2:20" s="1" customFormat="1" ht="90" customHeight="1">
      <c r="B122" s="36">
        <v>100</v>
      </c>
      <c r="C122" s="28" t="s">
        <v>389</v>
      </c>
      <c r="D122" s="28" t="s">
        <v>362</v>
      </c>
      <c r="E122" s="41"/>
      <c r="F122" s="49" t="s">
        <v>390</v>
      </c>
      <c r="G122" s="28" t="s">
        <v>23</v>
      </c>
      <c r="H122" s="43" t="s">
        <v>306</v>
      </c>
      <c r="I122" s="28" t="s">
        <v>291</v>
      </c>
      <c r="J122" s="28" t="s">
        <v>364</v>
      </c>
      <c r="K122" s="44">
        <f t="shared" si="7"/>
        <v>18720</v>
      </c>
      <c r="L122" s="45">
        <v>24000</v>
      </c>
      <c r="M122" s="31">
        <v>0.22</v>
      </c>
      <c r="N122" s="19" t="s">
        <v>27</v>
      </c>
      <c r="O122" s="21" t="s">
        <v>391</v>
      </c>
      <c r="P122" s="20" t="s">
        <v>29</v>
      </c>
      <c r="Q122" s="32"/>
      <c r="R122" s="32"/>
      <c r="S122" s="32"/>
      <c r="T122" s="32"/>
    </row>
    <row r="123" spans="2:20" ht="90" customHeight="1">
      <c r="B123" s="10">
        <v>101</v>
      </c>
      <c r="C123" s="11" t="s">
        <v>392</v>
      </c>
      <c r="D123" s="11" t="s">
        <v>362</v>
      </c>
      <c r="E123" s="12"/>
      <c r="F123" s="48" t="s">
        <v>393</v>
      </c>
      <c r="G123" s="11" t="s">
        <v>23</v>
      </c>
      <c r="H123" s="22" t="s">
        <v>306</v>
      </c>
      <c r="I123" s="11" t="s">
        <v>291</v>
      </c>
      <c r="J123" s="11" t="s">
        <v>364</v>
      </c>
      <c r="K123" s="46">
        <f t="shared" si="7"/>
        <v>6162</v>
      </c>
      <c r="L123" s="47">
        <v>7900</v>
      </c>
      <c r="M123" s="18">
        <v>0.22</v>
      </c>
      <c r="N123" s="19" t="s">
        <v>27</v>
      </c>
      <c r="O123" s="21" t="s">
        <v>394</v>
      </c>
      <c r="P123" s="20" t="s">
        <v>29</v>
      </c>
    </row>
    <row r="124" spans="2:20" s="1" customFormat="1" ht="90" customHeight="1">
      <c r="B124" s="36">
        <v>102</v>
      </c>
      <c r="C124" s="28" t="s">
        <v>395</v>
      </c>
      <c r="D124" s="28" t="s">
        <v>362</v>
      </c>
      <c r="E124" s="41"/>
      <c r="F124" s="49" t="s">
        <v>396</v>
      </c>
      <c r="G124" s="28" t="s">
        <v>23</v>
      </c>
      <c r="H124" s="43" t="s">
        <v>306</v>
      </c>
      <c r="I124" s="28" t="s">
        <v>291</v>
      </c>
      <c r="J124" s="28" t="s">
        <v>364</v>
      </c>
      <c r="K124" s="44">
        <f t="shared" si="7"/>
        <v>6240</v>
      </c>
      <c r="L124" s="45">
        <v>8000</v>
      </c>
      <c r="M124" s="31">
        <v>0.22</v>
      </c>
      <c r="N124" s="19" t="s">
        <v>27</v>
      </c>
      <c r="O124" s="21" t="s">
        <v>397</v>
      </c>
      <c r="P124" s="20" t="s">
        <v>29</v>
      </c>
      <c r="Q124" s="32"/>
      <c r="R124" s="32"/>
      <c r="S124" s="32"/>
      <c r="T124" s="32"/>
    </row>
    <row r="125" spans="2:20" s="1" customFormat="1" ht="90" customHeight="1">
      <c r="B125" s="36">
        <v>103</v>
      </c>
      <c r="C125" s="28" t="s">
        <v>398</v>
      </c>
      <c r="D125" s="28" t="s">
        <v>362</v>
      </c>
      <c r="E125" s="41"/>
      <c r="F125" s="49" t="s">
        <v>399</v>
      </c>
      <c r="G125" s="28" t="s">
        <v>23</v>
      </c>
      <c r="H125" s="43" t="s">
        <v>306</v>
      </c>
      <c r="I125" s="28" t="s">
        <v>291</v>
      </c>
      <c r="J125" s="28" t="s">
        <v>364</v>
      </c>
      <c r="K125" s="44">
        <f t="shared" si="7"/>
        <v>7020</v>
      </c>
      <c r="L125" s="45">
        <v>9000</v>
      </c>
      <c r="M125" s="31">
        <v>0.22</v>
      </c>
      <c r="N125" s="19" t="s">
        <v>27</v>
      </c>
      <c r="O125" s="21" t="s">
        <v>400</v>
      </c>
      <c r="P125" s="20" t="s">
        <v>29</v>
      </c>
      <c r="Q125" s="32"/>
      <c r="R125" s="32"/>
      <c r="S125" s="32"/>
      <c r="T125" s="32"/>
    </row>
    <row r="126" spans="2:20" s="1" customFormat="1" ht="90" customHeight="1">
      <c r="B126" s="36">
        <v>104</v>
      </c>
      <c r="C126" s="28" t="s">
        <v>401</v>
      </c>
      <c r="D126" s="28" t="s">
        <v>362</v>
      </c>
      <c r="E126" s="41"/>
      <c r="F126" s="49" t="s">
        <v>402</v>
      </c>
      <c r="G126" s="28" t="s">
        <v>23</v>
      </c>
      <c r="H126" s="43" t="s">
        <v>306</v>
      </c>
      <c r="I126" s="28" t="s">
        <v>291</v>
      </c>
      <c r="J126" s="28" t="s">
        <v>364</v>
      </c>
      <c r="K126" s="44">
        <f t="shared" si="7"/>
        <v>20280</v>
      </c>
      <c r="L126" s="45">
        <v>26000</v>
      </c>
      <c r="M126" s="31">
        <v>0.22</v>
      </c>
      <c r="N126" s="19" t="s">
        <v>27</v>
      </c>
      <c r="O126" s="21" t="s">
        <v>403</v>
      </c>
      <c r="P126" s="20" t="s">
        <v>29</v>
      </c>
      <c r="Q126" s="32"/>
      <c r="R126" s="32"/>
      <c r="S126" s="32"/>
      <c r="T126" s="32"/>
    </row>
    <row r="127" spans="2:20" ht="90" customHeight="1">
      <c r="B127" s="10">
        <v>105</v>
      </c>
      <c r="C127" s="11" t="s">
        <v>404</v>
      </c>
      <c r="D127" s="11" t="s">
        <v>362</v>
      </c>
      <c r="E127" s="12"/>
      <c r="F127" s="48" t="s">
        <v>396</v>
      </c>
      <c r="G127" s="11" t="s">
        <v>23</v>
      </c>
      <c r="H127" s="22" t="s">
        <v>306</v>
      </c>
      <c r="I127" s="11" t="s">
        <v>291</v>
      </c>
      <c r="J127" s="11" t="s">
        <v>364</v>
      </c>
      <c r="K127" s="46">
        <f t="shared" si="7"/>
        <v>7020</v>
      </c>
      <c r="L127" s="47">
        <v>9000</v>
      </c>
      <c r="M127" s="18">
        <v>0.22</v>
      </c>
      <c r="N127" s="19" t="s">
        <v>27</v>
      </c>
      <c r="O127" s="21" t="s">
        <v>405</v>
      </c>
      <c r="P127" s="20" t="s">
        <v>29</v>
      </c>
    </row>
    <row r="128" spans="2:20" ht="90" customHeight="1">
      <c r="B128" s="10">
        <v>106</v>
      </c>
      <c r="C128" s="11" t="s">
        <v>406</v>
      </c>
      <c r="D128" s="11" t="s">
        <v>362</v>
      </c>
      <c r="E128" s="12"/>
      <c r="F128" s="48" t="s">
        <v>396</v>
      </c>
      <c r="G128" s="11" t="s">
        <v>23</v>
      </c>
      <c r="H128" s="22" t="s">
        <v>306</v>
      </c>
      <c r="I128" s="11" t="s">
        <v>291</v>
      </c>
      <c r="J128" s="11" t="s">
        <v>364</v>
      </c>
      <c r="K128" s="46">
        <f t="shared" si="7"/>
        <v>7020</v>
      </c>
      <c r="L128" s="47">
        <v>9000</v>
      </c>
      <c r="M128" s="18">
        <v>0.22</v>
      </c>
      <c r="N128" s="19" t="s">
        <v>27</v>
      </c>
      <c r="O128" s="21" t="s">
        <v>407</v>
      </c>
      <c r="P128" s="20" t="s">
        <v>29</v>
      </c>
    </row>
    <row r="129" spans="2:20" ht="90" customHeight="1">
      <c r="B129" s="10">
        <v>107</v>
      </c>
      <c r="C129" s="11" t="s">
        <v>408</v>
      </c>
      <c r="D129" s="11" t="s">
        <v>362</v>
      </c>
      <c r="E129" s="12"/>
      <c r="F129" s="48" t="s">
        <v>409</v>
      </c>
      <c r="G129" s="11" t="s">
        <v>23</v>
      </c>
      <c r="H129" s="22" t="s">
        <v>306</v>
      </c>
      <c r="I129" s="11" t="s">
        <v>291</v>
      </c>
      <c r="J129" s="11" t="s">
        <v>364</v>
      </c>
      <c r="K129" s="46">
        <f t="shared" si="7"/>
        <v>7020</v>
      </c>
      <c r="L129" s="47">
        <v>9000</v>
      </c>
      <c r="M129" s="18">
        <v>0.22</v>
      </c>
      <c r="N129" s="19" t="s">
        <v>27</v>
      </c>
      <c r="O129" s="21" t="s">
        <v>410</v>
      </c>
      <c r="P129" s="20" t="s">
        <v>29</v>
      </c>
    </row>
    <row r="130" spans="2:20" s="1" customFormat="1" ht="90" customHeight="1">
      <c r="B130" s="36">
        <v>108</v>
      </c>
      <c r="C130" s="28" t="s">
        <v>411</v>
      </c>
      <c r="D130" s="28" t="s">
        <v>362</v>
      </c>
      <c r="E130" s="41"/>
      <c r="F130" s="49" t="s">
        <v>412</v>
      </c>
      <c r="G130" s="28" t="s">
        <v>23</v>
      </c>
      <c r="H130" s="43" t="s">
        <v>306</v>
      </c>
      <c r="I130" s="28" t="s">
        <v>291</v>
      </c>
      <c r="J130" s="28" t="s">
        <v>364</v>
      </c>
      <c r="K130" s="44">
        <f t="shared" si="7"/>
        <v>10140</v>
      </c>
      <c r="L130" s="45">
        <v>13000</v>
      </c>
      <c r="M130" s="31">
        <v>0.22</v>
      </c>
      <c r="N130" s="19" t="s">
        <v>27</v>
      </c>
      <c r="O130" s="21" t="s">
        <v>413</v>
      </c>
      <c r="P130" s="20" t="s">
        <v>29</v>
      </c>
      <c r="Q130" s="32"/>
      <c r="R130" s="32"/>
      <c r="S130" s="32"/>
      <c r="T130" s="32"/>
    </row>
    <row r="131" spans="2:20" ht="50.1" customHeight="1">
      <c r="B131" s="63" t="s">
        <v>414</v>
      </c>
      <c r="C131" s="64"/>
      <c r="D131" s="64"/>
      <c r="E131" s="64"/>
      <c r="F131" s="64"/>
      <c r="G131" s="64"/>
      <c r="H131" s="64"/>
      <c r="I131" s="64"/>
      <c r="J131" s="64"/>
      <c r="K131" s="64"/>
      <c r="L131" s="64"/>
      <c r="M131" s="65"/>
      <c r="N131" s="19" t="s">
        <v>27</v>
      </c>
      <c r="O131" s="21" t="s">
        <v>415</v>
      </c>
      <c r="P131" s="20" t="s">
        <v>29</v>
      </c>
    </row>
    <row r="132" spans="2:20" ht="80.099999999999994" customHeight="1">
      <c r="B132" s="10">
        <v>109</v>
      </c>
      <c r="C132" s="11" t="s">
        <v>416</v>
      </c>
      <c r="D132" s="11" t="s">
        <v>414</v>
      </c>
      <c r="E132" s="12"/>
      <c r="F132" s="11" t="s">
        <v>417</v>
      </c>
      <c r="G132" s="11" t="s">
        <v>23</v>
      </c>
      <c r="H132" s="22" t="s">
        <v>414</v>
      </c>
      <c r="I132" s="11" t="s">
        <v>291</v>
      </c>
      <c r="J132" s="11" t="s">
        <v>364</v>
      </c>
      <c r="K132" s="46">
        <f t="shared" ref="K132:K148" si="8">L132*(1-22%)</f>
        <v>13260</v>
      </c>
      <c r="L132" s="47">
        <v>17000</v>
      </c>
      <c r="M132" s="18">
        <v>0.22</v>
      </c>
      <c r="N132" s="19" t="s">
        <v>27</v>
      </c>
      <c r="O132" s="21" t="s">
        <v>418</v>
      </c>
      <c r="P132" s="20" t="s">
        <v>29</v>
      </c>
    </row>
    <row r="133" spans="2:20" ht="80.099999999999994" customHeight="1">
      <c r="B133" s="10">
        <v>110</v>
      </c>
      <c r="C133" s="11" t="s">
        <v>419</v>
      </c>
      <c r="D133" s="11" t="s">
        <v>414</v>
      </c>
      <c r="E133" s="12"/>
      <c r="F133" s="11" t="s">
        <v>420</v>
      </c>
      <c r="G133" s="11" t="s">
        <v>23</v>
      </c>
      <c r="H133" s="22" t="s">
        <v>414</v>
      </c>
      <c r="I133" s="11" t="s">
        <v>291</v>
      </c>
      <c r="J133" s="11" t="s">
        <v>364</v>
      </c>
      <c r="K133" s="46">
        <f t="shared" si="8"/>
        <v>4290</v>
      </c>
      <c r="L133" s="47">
        <v>5500</v>
      </c>
      <c r="M133" s="18">
        <v>0.22</v>
      </c>
      <c r="N133" s="19" t="s">
        <v>27</v>
      </c>
      <c r="O133" s="21" t="s">
        <v>421</v>
      </c>
      <c r="P133" s="20" t="s">
        <v>29</v>
      </c>
    </row>
    <row r="134" spans="2:20" ht="80.099999999999994" customHeight="1">
      <c r="B134" s="10">
        <v>111</v>
      </c>
      <c r="C134" s="11" t="s">
        <v>422</v>
      </c>
      <c r="D134" s="11" t="s">
        <v>414</v>
      </c>
      <c r="E134" s="12"/>
      <c r="F134" s="11" t="s">
        <v>420</v>
      </c>
      <c r="G134" s="11" t="s">
        <v>23</v>
      </c>
      <c r="H134" s="22" t="s">
        <v>414</v>
      </c>
      <c r="I134" s="11" t="s">
        <v>291</v>
      </c>
      <c r="J134" s="11" t="s">
        <v>364</v>
      </c>
      <c r="K134" s="46">
        <f t="shared" si="8"/>
        <v>4680</v>
      </c>
      <c r="L134" s="47">
        <v>6000</v>
      </c>
      <c r="M134" s="18">
        <v>0.22</v>
      </c>
      <c r="N134" s="19" t="s">
        <v>27</v>
      </c>
      <c r="O134" s="21" t="s">
        <v>423</v>
      </c>
      <c r="P134" s="20" t="s">
        <v>29</v>
      </c>
    </row>
    <row r="135" spans="2:20" ht="80.099999999999994" customHeight="1">
      <c r="B135" s="10">
        <v>112</v>
      </c>
      <c r="C135" s="11" t="s">
        <v>424</v>
      </c>
      <c r="D135" s="11" t="s">
        <v>414</v>
      </c>
      <c r="E135" s="12"/>
      <c r="F135" s="11" t="s">
        <v>425</v>
      </c>
      <c r="G135" s="11" t="s">
        <v>23</v>
      </c>
      <c r="H135" s="22" t="s">
        <v>414</v>
      </c>
      <c r="I135" s="11" t="s">
        <v>291</v>
      </c>
      <c r="J135" s="11" t="s">
        <v>364</v>
      </c>
      <c r="K135" s="46">
        <f t="shared" si="8"/>
        <v>4524</v>
      </c>
      <c r="L135" s="47">
        <v>5800</v>
      </c>
      <c r="M135" s="18">
        <v>0.22</v>
      </c>
      <c r="N135" s="19" t="s">
        <v>27</v>
      </c>
      <c r="O135" s="21" t="s">
        <v>426</v>
      </c>
      <c r="P135" s="20" t="s">
        <v>29</v>
      </c>
    </row>
    <row r="136" spans="2:20" ht="80.099999999999994" customHeight="1">
      <c r="B136" s="10">
        <v>113</v>
      </c>
      <c r="C136" s="11" t="s">
        <v>427</v>
      </c>
      <c r="D136" s="11" t="s">
        <v>414</v>
      </c>
      <c r="E136" s="12"/>
      <c r="F136" s="11" t="s">
        <v>425</v>
      </c>
      <c r="G136" s="11" t="s">
        <v>23</v>
      </c>
      <c r="H136" s="22" t="s">
        <v>414</v>
      </c>
      <c r="I136" s="11" t="s">
        <v>291</v>
      </c>
      <c r="J136" s="11" t="s">
        <v>364</v>
      </c>
      <c r="K136" s="46">
        <f t="shared" si="8"/>
        <v>3510</v>
      </c>
      <c r="L136" s="47">
        <v>4500</v>
      </c>
      <c r="M136" s="18">
        <v>0.22</v>
      </c>
      <c r="N136" s="19" t="s">
        <v>27</v>
      </c>
      <c r="O136" s="21" t="s">
        <v>428</v>
      </c>
      <c r="P136" s="20" t="s">
        <v>29</v>
      </c>
    </row>
    <row r="137" spans="2:20" ht="80.099999999999994" customHeight="1">
      <c r="B137" s="10">
        <v>114</v>
      </c>
      <c r="C137" s="11" t="s">
        <v>429</v>
      </c>
      <c r="D137" s="11" t="s">
        <v>414</v>
      </c>
      <c r="E137" s="12"/>
      <c r="F137" s="11" t="s">
        <v>425</v>
      </c>
      <c r="G137" s="11" t="s">
        <v>23</v>
      </c>
      <c r="H137" s="22" t="s">
        <v>414</v>
      </c>
      <c r="I137" s="11" t="s">
        <v>291</v>
      </c>
      <c r="J137" s="11" t="s">
        <v>364</v>
      </c>
      <c r="K137" s="46">
        <f t="shared" si="8"/>
        <v>2964</v>
      </c>
      <c r="L137" s="47">
        <v>3800</v>
      </c>
      <c r="M137" s="18">
        <v>0.22</v>
      </c>
      <c r="N137" s="19" t="s">
        <v>27</v>
      </c>
      <c r="O137" s="21" t="s">
        <v>430</v>
      </c>
      <c r="P137" s="20" t="s">
        <v>29</v>
      </c>
    </row>
    <row r="138" spans="2:20" ht="80.099999999999994" customHeight="1">
      <c r="B138" s="10">
        <v>115</v>
      </c>
      <c r="C138" s="11" t="s">
        <v>431</v>
      </c>
      <c r="D138" s="11" t="s">
        <v>414</v>
      </c>
      <c r="E138" s="12"/>
      <c r="F138" s="11" t="s">
        <v>425</v>
      </c>
      <c r="G138" s="11" t="s">
        <v>23</v>
      </c>
      <c r="H138" s="22" t="s">
        <v>414</v>
      </c>
      <c r="I138" s="11" t="s">
        <v>291</v>
      </c>
      <c r="J138" s="11" t="s">
        <v>364</v>
      </c>
      <c r="K138" s="46">
        <f t="shared" si="8"/>
        <v>5850</v>
      </c>
      <c r="L138" s="47">
        <v>7500</v>
      </c>
      <c r="M138" s="18">
        <v>0.22</v>
      </c>
      <c r="N138" s="19" t="s">
        <v>27</v>
      </c>
      <c r="O138" s="21" t="s">
        <v>432</v>
      </c>
      <c r="P138" s="20" t="s">
        <v>29</v>
      </c>
    </row>
    <row r="139" spans="2:20" ht="80.099999999999994" customHeight="1">
      <c r="B139" s="10">
        <v>116</v>
      </c>
      <c r="C139" s="11" t="s">
        <v>433</v>
      </c>
      <c r="D139" s="11" t="s">
        <v>414</v>
      </c>
      <c r="E139" s="12"/>
      <c r="F139" s="11" t="s">
        <v>425</v>
      </c>
      <c r="G139" s="11" t="s">
        <v>23</v>
      </c>
      <c r="H139" s="22" t="s">
        <v>414</v>
      </c>
      <c r="I139" s="11" t="s">
        <v>291</v>
      </c>
      <c r="J139" s="11" t="s">
        <v>364</v>
      </c>
      <c r="K139" s="46">
        <f t="shared" si="8"/>
        <v>3822</v>
      </c>
      <c r="L139" s="47">
        <v>4900</v>
      </c>
      <c r="M139" s="18">
        <v>0.22</v>
      </c>
      <c r="N139" s="19" t="s">
        <v>27</v>
      </c>
      <c r="O139" s="21" t="s">
        <v>434</v>
      </c>
      <c r="P139" s="20" t="s">
        <v>29</v>
      </c>
    </row>
    <row r="140" spans="2:20" ht="80.099999999999994" customHeight="1">
      <c r="B140" s="10">
        <v>117</v>
      </c>
      <c r="C140" s="11" t="s">
        <v>435</v>
      </c>
      <c r="D140" s="11" t="s">
        <v>414</v>
      </c>
      <c r="E140" s="12"/>
      <c r="F140" s="11" t="s">
        <v>436</v>
      </c>
      <c r="G140" s="11" t="s">
        <v>23</v>
      </c>
      <c r="H140" s="22" t="s">
        <v>414</v>
      </c>
      <c r="I140" s="11" t="s">
        <v>291</v>
      </c>
      <c r="J140" s="11" t="s">
        <v>364</v>
      </c>
      <c r="K140" s="46">
        <f t="shared" si="8"/>
        <v>4992</v>
      </c>
      <c r="L140" s="47">
        <v>6400</v>
      </c>
      <c r="M140" s="18">
        <v>0.22</v>
      </c>
      <c r="N140" s="19" t="s">
        <v>27</v>
      </c>
      <c r="O140" s="21" t="s">
        <v>437</v>
      </c>
      <c r="P140" s="20" t="s">
        <v>29</v>
      </c>
    </row>
    <row r="141" spans="2:20" ht="80.099999999999994" customHeight="1">
      <c r="B141" s="10">
        <v>118</v>
      </c>
      <c r="C141" s="11" t="s">
        <v>438</v>
      </c>
      <c r="D141" s="11" t="s">
        <v>414</v>
      </c>
      <c r="E141" s="12"/>
      <c r="F141" s="11" t="s">
        <v>439</v>
      </c>
      <c r="G141" s="11" t="s">
        <v>23</v>
      </c>
      <c r="H141" s="22" t="s">
        <v>414</v>
      </c>
      <c r="I141" s="11" t="s">
        <v>291</v>
      </c>
      <c r="J141" s="11" t="s">
        <v>364</v>
      </c>
      <c r="K141" s="46">
        <f t="shared" si="8"/>
        <v>2886</v>
      </c>
      <c r="L141" s="47">
        <v>3700</v>
      </c>
      <c r="M141" s="18">
        <v>0.22</v>
      </c>
      <c r="N141" s="19" t="s">
        <v>27</v>
      </c>
      <c r="O141" s="21" t="s">
        <v>440</v>
      </c>
      <c r="P141" s="20" t="s">
        <v>29</v>
      </c>
    </row>
    <row r="142" spans="2:20" ht="80.099999999999994" customHeight="1">
      <c r="B142" s="10">
        <v>119</v>
      </c>
      <c r="C142" s="11" t="s">
        <v>441</v>
      </c>
      <c r="D142" s="11" t="s">
        <v>414</v>
      </c>
      <c r="E142" s="12"/>
      <c r="F142" s="11" t="s">
        <v>425</v>
      </c>
      <c r="G142" s="11" t="s">
        <v>23</v>
      </c>
      <c r="H142" s="22" t="s">
        <v>414</v>
      </c>
      <c r="I142" s="11" t="s">
        <v>291</v>
      </c>
      <c r="J142" s="11" t="s">
        <v>364</v>
      </c>
      <c r="K142" s="46">
        <f t="shared" si="8"/>
        <v>2184</v>
      </c>
      <c r="L142" s="47">
        <v>2800</v>
      </c>
      <c r="M142" s="18">
        <v>0.22</v>
      </c>
      <c r="N142" s="19" t="s">
        <v>27</v>
      </c>
      <c r="O142" s="21" t="s">
        <v>442</v>
      </c>
      <c r="P142" s="20" t="s">
        <v>29</v>
      </c>
    </row>
    <row r="143" spans="2:20" ht="80.099999999999994" customHeight="1">
      <c r="B143" s="10">
        <v>120</v>
      </c>
      <c r="C143" s="11" t="s">
        <v>443</v>
      </c>
      <c r="D143" s="11" t="s">
        <v>414</v>
      </c>
      <c r="E143" s="12"/>
      <c r="F143" s="11" t="s">
        <v>444</v>
      </c>
      <c r="G143" s="11" t="s">
        <v>23</v>
      </c>
      <c r="H143" s="22" t="s">
        <v>414</v>
      </c>
      <c r="I143" s="11" t="s">
        <v>291</v>
      </c>
      <c r="J143" s="11" t="s">
        <v>445</v>
      </c>
      <c r="K143" s="46">
        <f t="shared" si="8"/>
        <v>3432</v>
      </c>
      <c r="L143" s="47">
        <v>4400</v>
      </c>
      <c r="M143" s="18">
        <v>0.22</v>
      </c>
      <c r="N143" s="19" t="s">
        <v>27</v>
      </c>
      <c r="O143" s="21" t="s">
        <v>446</v>
      </c>
      <c r="P143" s="20" t="s">
        <v>29</v>
      </c>
    </row>
    <row r="144" spans="2:20" ht="80.099999999999994" customHeight="1">
      <c r="B144" s="10">
        <v>121</v>
      </c>
      <c r="C144" s="11" t="s">
        <v>447</v>
      </c>
      <c r="D144" s="11" t="s">
        <v>414</v>
      </c>
      <c r="E144" s="12"/>
      <c r="F144" s="11" t="s">
        <v>448</v>
      </c>
      <c r="G144" s="11" t="s">
        <v>23</v>
      </c>
      <c r="H144" s="22" t="s">
        <v>414</v>
      </c>
      <c r="I144" s="11" t="s">
        <v>291</v>
      </c>
      <c r="J144" s="11" t="s">
        <v>364</v>
      </c>
      <c r="K144" s="46">
        <f t="shared" si="8"/>
        <v>8190</v>
      </c>
      <c r="L144" s="47">
        <v>10500</v>
      </c>
      <c r="M144" s="18">
        <v>0.22</v>
      </c>
      <c r="N144" s="19" t="s">
        <v>27</v>
      </c>
      <c r="O144" s="21" t="s">
        <v>449</v>
      </c>
      <c r="P144" s="20" t="s">
        <v>29</v>
      </c>
    </row>
    <row r="145" spans="2:20" s="1" customFormat="1" ht="80.099999999999994" customHeight="1">
      <c r="B145" s="36">
        <v>122</v>
      </c>
      <c r="C145" s="28" t="s">
        <v>450</v>
      </c>
      <c r="D145" s="28" t="s">
        <v>414</v>
      </c>
      <c r="E145" s="41"/>
      <c r="F145" s="28" t="s">
        <v>451</v>
      </c>
      <c r="G145" s="28" t="s">
        <v>23</v>
      </c>
      <c r="H145" s="43" t="s">
        <v>414</v>
      </c>
      <c r="I145" s="28" t="s">
        <v>291</v>
      </c>
      <c r="J145" s="28" t="s">
        <v>445</v>
      </c>
      <c r="K145" s="44">
        <f t="shared" si="8"/>
        <v>9204</v>
      </c>
      <c r="L145" s="45">
        <v>11800</v>
      </c>
      <c r="M145" s="31">
        <v>0.22</v>
      </c>
      <c r="N145" s="19" t="s">
        <v>27</v>
      </c>
      <c r="O145" s="21" t="s">
        <v>452</v>
      </c>
      <c r="P145" s="20" t="s">
        <v>29</v>
      </c>
      <c r="Q145" s="32"/>
      <c r="R145" s="32"/>
      <c r="S145" s="32"/>
      <c r="T145" s="32"/>
    </row>
    <row r="146" spans="2:20" ht="80.099999999999994" customHeight="1">
      <c r="B146" s="10">
        <v>123</v>
      </c>
      <c r="C146" s="11" t="s">
        <v>453</v>
      </c>
      <c r="D146" s="11" t="s">
        <v>414</v>
      </c>
      <c r="E146" s="12"/>
      <c r="F146" s="11" t="s">
        <v>454</v>
      </c>
      <c r="G146" s="11" t="s">
        <v>23</v>
      </c>
      <c r="H146" s="22" t="s">
        <v>414</v>
      </c>
      <c r="I146" s="11" t="s">
        <v>291</v>
      </c>
      <c r="J146" s="11" t="s">
        <v>364</v>
      </c>
      <c r="K146" s="46">
        <f t="shared" si="8"/>
        <v>4446</v>
      </c>
      <c r="L146" s="47">
        <v>5700</v>
      </c>
      <c r="M146" s="18">
        <v>0.22</v>
      </c>
      <c r="N146" s="19" t="s">
        <v>27</v>
      </c>
      <c r="O146" s="21" t="s">
        <v>455</v>
      </c>
      <c r="P146" s="20" t="s">
        <v>29</v>
      </c>
    </row>
    <row r="147" spans="2:20" ht="80.099999999999994" customHeight="1">
      <c r="B147" s="10">
        <v>124</v>
      </c>
      <c r="C147" s="11" t="s">
        <v>456</v>
      </c>
      <c r="D147" s="11" t="s">
        <v>414</v>
      </c>
      <c r="E147" s="12"/>
      <c r="F147" s="11" t="s">
        <v>457</v>
      </c>
      <c r="G147" s="11" t="s">
        <v>23</v>
      </c>
      <c r="H147" s="22" t="s">
        <v>414</v>
      </c>
      <c r="I147" s="11" t="s">
        <v>291</v>
      </c>
      <c r="J147" s="11" t="s">
        <v>364</v>
      </c>
      <c r="K147" s="46">
        <f t="shared" si="8"/>
        <v>3978</v>
      </c>
      <c r="L147" s="47">
        <v>5100</v>
      </c>
      <c r="M147" s="18">
        <v>0.22</v>
      </c>
      <c r="N147" s="19" t="s">
        <v>27</v>
      </c>
      <c r="O147" s="21" t="s">
        <v>458</v>
      </c>
      <c r="P147" s="20" t="s">
        <v>29</v>
      </c>
    </row>
    <row r="148" spans="2:20" ht="80.099999999999994" customHeight="1">
      <c r="B148" s="10">
        <v>125</v>
      </c>
      <c r="C148" s="11" t="s">
        <v>459</v>
      </c>
      <c r="D148" s="11" t="s">
        <v>414</v>
      </c>
      <c r="E148" s="12"/>
      <c r="F148" s="11" t="s">
        <v>457</v>
      </c>
      <c r="G148" s="11" t="s">
        <v>23</v>
      </c>
      <c r="H148" s="22" t="s">
        <v>414</v>
      </c>
      <c r="I148" s="11" t="s">
        <v>291</v>
      </c>
      <c r="J148" s="11" t="s">
        <v>364</v>
      </c>
      <c r="K148" s="46">
        <f t="shared" si="8"/>
        <v>9204</v>
      </c>
      <c r="L148" s="47">
        <v>11800</v>
      </c>
      <c r="M148" s="18">
        <v>0.22</v>
      </c>
      <c r="N148" s="19" t="s">
        <v>27</v>
      </c>
      <c r="O148" s="21" t="s">
        <v>460</v>
      </c>
      <c r="P148" s="20" t="s">
        <v>29</v>
      </c>
    </row>
    <row r="149" spans="2:20" ht="50.1" customHeight="1">
      <c r="B149" s="63" t="s">
        <v>461</v>
      </c>
      <c r="C149" s="64"/>
      <c r="D149" s="64"/>
      <c r="E149" s="64"/>
      <c r="F149" s="64"/>
      <c r="G149" s="64"/>
      <c r="H149" s="64"/>
      <c r="I149" s="64"/>
      <c r="J149" s="64"/>
      <c r="K149" s="64"/>
      <c r="L149" s="64"/>
      <c r="M149" s="65"/>
      <c r="N149" s="19" t="s">
        <v>27</v>
      </c>
      <c r="O149" s="21" t="s">
        <v>462</v>
      </c>
      <c r="P149" s="20" t="s">
        <v>29</v>
      </c>
    </row>
    <row r="150" spans="2:20" s="1" customFormat="1" ht="80.099999999999994" customHeight="1">
      <c r="B150" s="36">
        <v>126</v>
      </c>
      <c r="C150" s="28" t="s">
        <v>463</v>
      </c>
      <c r="D150" s="28" t="s">
        <v>464</v>
      </c>
      <c r="E150" s="41"/>
      <c r="F150" s="28" t="s">
        <v>465</v>
      </c>
      <c r="G150" s="28" t="s">
        <v>23</v>
      </c>
      <c r="H150" s="50" t="s">
        <v>466</v>
      </c>
      <c r="I150" s="28" t="s">
        <v>291</v>
      </c>
      <c r="J150" s="28" t="s">
        <v>467</v>
      </c>
      <c r="K150" s="40">
        <f>L150*(1-0.22)</f>
        <v>0</v>
      </c>
      <c r="L150" s="30"/>
      <c r="M150" s="31">
        <v>0.22</v>
      </c>
      <c r="N150" s="19" t="s">
        <v>27</v>
      </c>
      <c r="O150" s="21" t="s">
        <v>468</v>
      </c>
      <c r="P150" s="20" t="s">
        <v>29</v>
      </c>
      <c r="Q150" s="32"/>
      <c r="R150" s="32"/>
      <c r="S150" s="32"/>
      <c r="T150" s="32"/>
    </row>
    <row r="151" spans="2:20" s="1" customFormat="1" ht="80.099999999999994" customHeight="1">
      <c r="B151" s="36">
        <v>127</v>
      </c>
      <c r="C151" s="28" t="s">
        <v>469</v>
      </c>
      <c r="D151" s="28" t="s">
        <v>464</v>
      </c>
      <c r="E151" s="41"/>
      <c r="F151" s="28" t="s">
        <v>465</v>
      </c>
      <c r="G151" s="28" t="s">
        <v>23</v>
      </c>
      <c r="H151" s="50" t="s">
        <v>466</v>
      </c>
      <c r="I151" s="28" t="s">
        <v>291</v>
      </c>
      <c r="J151" s="28" t="s">
        <v>470</v>
      </c>
      <c r="K151" s="40">
        <f>L151*(1-0.22)</f>
        <v>0</v>
      </c>
      <c r="L151" s="30"/>
      <c r="M151" s="31">
        <v>0.22</v>
      </c>
      <c r="N151" s="19" t="s">
        <v>27</v>
      </c>
      <c r="O151" s="21" t="s">
        <v>471</v>
      </c>
      <c r="P151" s="20" t="s">
        <v>29</v>
      </c>
      <c r="Q151" s="32"/>
      <c r="R151" s="32"/>
      <c r="S151" s="32"/>
      <c r="T151" s="32"/>
    </row>
    <row r="152" spans="2:20" ht="80.099999999999994" customHeight="1">
      <c r="B152" s="10">
        <v>128</v>
      </c>
      <c r="C152" s="11" t="s">
        <v>472</v>
      </c>
      <c r="D152" s="11" t="s">
        <v>464</v>
      </c>
      <c r="E152" s="12"/>
      <c r="F152" s="11" t="s">
        <v>473</v>
      </c>
      <c r="G152" s="11" t="s">
        <v>474</v>
      </c>
      <c r="H152" s="51" t="s">
        <v>466</v>
      </c>
      <c r="I152" s="11" t="s">
        <v>291</v>
      </c>
      <c r="J152" s="11" t="s">
        <v>257</v>
      </c>
      <c r="K152" s="16">
        <f>L152*(1-0.22)</f>
        <v>3510</v>
      </c>
      <c r="L152" s="17">
        <v>4500</v>
      </c>
      <c r="M152" s="18">
        <v>0.22</v>
      </c>
      <c r="N152" s="19" t="s">
        <v>27</v>
      </c>
      <c r="O152" s="21" t="s">
        <v>475</v>
      </c>
      <c r="P152" s="20" t="s">
        <v>29</v>
      </c>
    </row>
    <row r="153" spans="2:20" ht="80.099999999999994" customHeight="1">
      <c r="B153" s="10">
        <v>129</v>
      </c>
      <c r="C153" s="11" t="s">
        <v>476</v>
      </c>
      <c r="D153" s="11" t="s">
        <v>464</v>
      </c>
      <c r="E153" s="12"/>
      <c r="F153" s="11" t="s">
        <v>477</v>
      </c>
      <c r="G153" s="11" t="s">
        <v>23</v>
      </c>
      <c r="H153" s="51" t="s">
        <v>466</v>
      </c>
      <c r="I153" s="11" t="s">
        <v>291</v>
      </c>
      <c r="J153" s="11" t="s">
        <v>478</v>
      </c>
      <c r="K153" s="16">
        <f>L153*(1-0.22)</f>
        <v>4056</v>
      </c>
      <c r="L153" s="17">
        <v>5200</v>
      </c>
      <c r="M153" s="18">
        <v>0.22</v>
      </c>
      <c r="N153" s="19" t="s">
        <v>27</v>
      </c>
      <c r="O153" s="21" t="s">
        <v>479</v>
      </c>
      <c r="P153" s="20" t="s">
        <v>29</v>
      </c>
    </row>
    <row r="154" spans="2:20" ht="80.099999999999994" customHeight="1">
      <c r="B154" s="10">
        <v>130</v>
      </c>
      <c r="C154" s="11" t="s">
        <v>480</v>
      </c>
      <c r="D154" s="11" t="s">
        <v>464</v>
      </c>
      <c r="E154" s="12"/>
      <c r="F154" s="11" t="s">
        <v>481</v>
      </c>
      <c r="G154" s="11" t="s">
        <v>23</v>
      </c>
      <c r="H154" s="22" t="s">
        <v>304</v>
      </c>
      <c r="I154" s="11" t="s">
        <v>291</v>
      </c>
      <c r="J154" s="11" t="s">
        <v>482</v>
      </c>
      <c r="K154" s="16">
        <f>L154*(1-0.22)</f>
        <v>8424</v>
      </c>
      <c r="L154" s="17">
        <v>10800</v>
      </c>
      <c r="M154" s="18">
        <v>0.22</v>
      </c>
      <c r="N154" s="19" t="s">
        <v>27</v>
      </c>
      <c r="O154" s="21" t="s">
        <v>483</v>
      </c>
      <c r="P154" s="20" t="s">
        <v>29</v>
      </c>
    </row>
    <row r="155" spans="2:20" ht="50.1" customHeight="1">
      <c r="B155" s="63" t="s">
        <v>484</v>
      </c>
      <c r="C155" s="64"/>
      <c r="D155" s="64"/>
      <c r="E155" s="64"/>
      <c r="F155" s="64"/>
      <c r="G155" s="64"/>
      <c r="H155" s="64"/>
      <c r="I155" s="64"/>
      <c r="J155" s="64"/>
      <c r="K155" s="64"/>
      <c r="L155" s="64"/>
      <c r="M155" s="65"/>
      <c r="N155" s="19" t="s">
        <v>27</v>
      </c>
      <c r="O155" s="21" t="s">
        <v>485</v>
      </c>
      <c r="P155" s="20" t="s">
        <v>29</v>
      </c>
    </row>
    <row r="156" spans="2:20" s="1" customFormat="1" ht="80.099999999999994" customHeight="1">
      <c r="B156" s="36">
        <v>131</v>
      </c>
      <c r="C156" s="28" t="s">
        <v>486</v>
      </c>
      <c r="D156" s="28" t="s">
        <v>487</v>
      </c>
      <c r="E156" s="41"/>
      <c r="F156" s="28" t="s">
        <v>488</v>
      </c>
      <c r="G156" s="28" t="s">
        <v>189</v>
      </c>
      <c r="H156" s="43" t="s">
        <v>304</v>
      </c>
      <c r="I156" s="28" t="s">
        <v>291</v>
      </c>
      <c r="J156" s="28" t="s">
        <v>364</v>
      </c>
      <c r="K156" s="40">
        <f>L156*(1-0.22)</f>
        <v>0</v>
      </c>
      <c r="L156" s="52">
        <v>0</v>
      </c>
      <c r="M156" s="31">
        <v>0.22</v>
      </c>
      <c r="N156" s="19" t="s">
        <v>27</v>
      </c>
      <c r="O156" s="21" t="s">
        <v>489</v>
      </c>
      <c r="P156" s="20" t="s">
        <v>29</v>
      </c>
      <c r="Q156" s="32"/>
      <c r="R156" s="32"/>
      <c r="S156" s="32"/>
      <c r="T156" s="32"/>
    </row>
    <row r="157" spans="2:20" ht="50.1" customHeight="1">
      <c r="B157" s="63" t="s">
        <v>490</v>
      </c>
      <c r="C157" s="64"/>
      <c r="D157" s="64"/>
      <c r="E157" s="64"/>
      <c r="F157" s="64"/>
      <c r="G157" s="64"/>
      <c r="H157" s="64"/>
      <c r="I157" s="64"/>
      <c r="J157" s="64"/>
      <c r="K157" s="64"/>
      <c r="L157" s="64"/>
      <c r="M157" s="65"/>
      <c r="N157" s="19" t="s">
        <v>27</v>
      </c>
      <c r="O157" s="21" t="s">
        <v>491</v>
      </c>
      <c r="P157" s="20" t="s">
        <v>29</v>
      </c>
    </row>
    <row r="158" spans="2:20" s="1" customFormat="1" ht="80.099999999999994" customHeight="1">
      <c r="B158" s="36">
        <v>132</v>
      </c>
      <c r="C158" s="28" t="s">
        <v>492</v>
      </c>
      <c r="D158" s="28" t="s">
        <v>493</v>
      </c>
      <c r="E158" s="41"/>
      <c r="F158" s="28" t="s">
        <v>488</v>
      </c>
      <c r="G158" s="28" t="s">
        <v>189</v>
      </c>
      <c r="H158" s="28" t="s">
        <v>493</v>
      </c>
      <c r="I158" s="28" t="s">
        <v>291</v>
      </c>
      <c r="J158" s="28" t="s">
        <v>364</v>
      </c>
      <c r="K158" s="40">
        <f>L158*(1-0.22)</f>
        <v>0</v>
      </c>
      <c r="L158" s="52">
        <v>0</v>
      </c>
      <c r="M158" s="31">
        <v>0.22</v>
      </c>
      <c r="N158" s="19" t="s">
        <v>27</v>
      </c>
      <c r="O158" s="21" t="s">
        <v>494</v>
      </c>
      <c r="P158" s="20" t="s">
        <v>29</v>
      </c>
      <c r="Q158" s="32"/>
      <c r="R158" s="32"/>
      <c r="S158" s="32"/>
      <c r="T158" s="32"/>
    </row>
    <row r="159" spans="2:20" ht="50.1" customHeight="1">
      <c r="B159" s="63" t="s">
        <v>495</v>
      </c>
      <c r="C159" s="64"/>
      <c r="D159" s="64"/>
      <c r="E159" s="64"/>
      <c r="F159" s="64"/>
      <c r="G159" s="64"/>
      <c r="H159" s="64"/>
      <c r="I159" s="64"/>
      <c r="J159" s="64"/>
      <c r="K159" s="64"/>
      <c r="L159" s="64"/>
      <c r="M159" s="65"/>
      <c r="N159" s="19" t="s">
        <v>27</v>
      </c>
      <c r="O159" s="21" t="s">
        <v>496</v>
      </c>
      <c r="P159" s="20" t="s">
        <v>29</v>
      </c>
    </row>
    <row r="160" spans="2:20" ht="80.099999999999994" customHeight="1">
      <c r="B160" s="10">
        <v>133</v>
      </c>
      <c r="C160" s="11" t="s">
        <v>497</v>
      </c>
      <c r="D160" s="11" t="s">
        <v>498</v>
      </c>
      <c r="E160" s="12"/>
      <c r="F160" s="16" t="s">
        <v>22</v>
      </c>
      <c r="G160" s="11" t="s">
        <v>23</v>
      </c>
      <c r="H160" s="22" t="s">
        <v>498</v>
      </c>
      <c r="I160" s="11" t="s">
        <v>499</v>
      </c>
      <c r="J160" s="11" t="s">
        <v>228</v>
      </c>
      <c r="K160" s="16">
        <f>L160*(1-0.22)</f>
        <v>6708</v>
      </c>
      <c r="L160" s="17">
        <v>8600</v>
      </c>
      <c r="M160" s="18">
        <v>0.22</v>
      </c>
      <c r="N160" s="19" t="s">
        <v>27</v>
      </c>
      <c r="O160" s="21" t="s">
        <v>500</v>
      </c>
      <c r="P160" s="20" t="s">
        <v>29</v>
      </c>
    </row>
    <row r="161" spans="2:20" ht="80.099999999999994" customHeight="1">
      <c r="B161" s="10">
        <v>134</v>
      </c>
      <c r="C161" s="11" t="s">
        <v>501</v>
      </c>
      <c r="D161" s="11" t="s">
        <v>498</v>
      </c>
      <c r="E161" s="12"/>
      <c r="F161" s="16" t="s">
        <v>22</v>
      </c>
      <c r="G161" s="11" t="s">
        <v>23</v>
      </c>
      <c r="H161" s="22" t="s">
        <v>498</v>
      </c>
      <c r="I161" s="11" t="s">
        <v>502</v>
      </c>
      <c r="J161" s="11" t="s">
        <v>228</v>
      </c>
      <c r="K161" s="16">
        <f>L161*(1-0.22)</f>
        <v>9126</v>
      </c>
      <c r="L161" s="17">
        <v>11700</v>
      </c>
      <c r="M161" s="18">
        <v>0.22</v>
      </c>
      <c r="N161" s="19" t="s">
        <v>27</v>
      </c>
      <c r="O161" s="21" t="s">
        <v>503</v>
      </c>
      <c r="P161" s="20" t="s">
        <v>29</v>
      </c>
    </row>
    <row r="162" spans="2:20" ht="50.1" customHeight="1">
      <c r="B162" s="63" t="s">
        <v>504</v>
      </c>
      <c r="C162" s="64"/>
      <c r="D162" s="64"/>
      <c r="E162" s="64"/>
      <c r="F162" s="64"/>
      <c r="G162" s="64"/>
      <c r="H162" s="64"/>
      <c r="I162" s="64"/>
      <c r="J162" s="64"/>
      <c r="K162" s="64"/>
      <c r="L162" s="64"/>
      <c r="M162" s="65"/>
      <c r="N162" s="19" t="s">
        <v>27</v>
      </c>
      <c r="O162" s="21" t="s">
        <v>505</v>
      </c>
      <c r="P162" s="20" t="s">
        <v>29</v>
      </c>
    </row>
    <row r="163" spans="2:20" s="1" customFormat="1" ht="80.099999999999994" customHeight="1">
      <c r="B163" s="36">
        <v>135</v>
      </c>
      <c r="C163" s="28" t="s">
        <v>506</v>
      </c>
      <c r="D163" s="28" t="s">
        <v>504</v>
      </c>
      <c r="E163" s="41"/>
      <c r="F163" s="40" t="s">
        <v>22</v>
      </c>
      <c r="G163" s="28" t="s">
        <v>23</v>
      </c>
      <c r="H163" s="43" t="s">
        <v>504</v>
      </c>
      <c r="I163" s="28" t="s">
        <v>507</v>
      </c>
      <c r="J163" s="28" t="s">
        <v>508</v>
      </c>
      <c r="K163" s="40">
        <f>L163*(1-0.22)</f>
        <v>25896</v>
      </c>
      <c r="L163" s="52">
        <v>33200</v>
      </c>
      <c r="M163" s="31">
        <v>0.22</v>
      </c>
      <c r="N163" s="19" t="s">
        <v>27</v>
      </c>
      <c r="O163" s="21" t="s">
        <v>509</v>
      </c>
      <c r="P163" s="20" t="s">
        <v>29</v>
      </c>
      <c r="Q163" s="32"/>
      <c r="R163" s="32"/>
      <c r="S163" s="32"/>
      <c r="T163" s="32"/>
    </row>
    <row r="164" spans="2:20" s="1" customFormat="1" ht="80.099999999999994" customHeight="1">
      <c r="B164" s="36">
        <v>136</v>
      </c>
      <c r="C164" s="28" t="s">
        <v>510</v>
      </c>
      <c r="D164" s="28" t="s">
        <v>504</v>
      </c>
      <c r="E164" s="41"/>
      <c r="F164" s="40" t="s">
        <v>22</v>
      </c>
      <c r="G164" s="28" t="s">
        <v>23</v>
      </c>
      <c r="H164" s="43" t="s">
        <v>504</v>
      </c>
      <c r="I164" s="28" t="s">
        <v>511</v>
      </c>
      <c r="J164" s="28" t="s">
        <v>508</v>
      </c>
      <c r="K164" s="40">
        <f>L164*(1-0.22)</f>
        <v>24336</v>
      </c>
      <c r="L164" s="52">
        <v>31200</v>
      </c>
      <c r="M164" s="31">
        <v>0.22</v>
      </c>
      <c r="N164" s="19" t="s">
        <v>27</v>
      </c>
      <c r="O164" s="21" t="s">
        <v>512</v>
      </c>
      <c r="P164" s="20" t="s">
        <v>29</v>
      </c>
      <c r="Q164" s="32"/>
      <c r="R164" s="32"/>
      <c r="S164" s="32"/>
      <c r="T164" s="32"/>
    </row>
    <row r="165" spans="2:20" s="1" customFormat="1" ht="80.099999999999994" customHeight="1">
      <c r="B165" s="36">
        <v>137</v>
      </c>
      <c r="C165" s="28" t="s">
        <v>513</v>
      </c>
      <c r="D165" s="28" t="s">
        <v>504</v>
      </c>
      <c r="E165" s="41"/>
      <c r="F165" s="28" t="s">
        <v>514</v>
      </c>
      <c r="G165" s="28" t="s">
        <v>23</v>
      </c>
      <c r="H165" s="43" t="s">
        <v>504</v>
      </c>
      <c r="I165" s="28" t="s">
        <v>515</v>
      </c>
      <c r="J165" s="28" t="s">
        <v>516</v>
      </c>
      <c r="K165" s="40">
        <f>L165*(1-0.22)</f>
        <v>75036</v>
      </c>
      <c r="L165" s="52">
        <v>96200</v>
      </c>
      <c r="M165" s="31">
        <v>0.22</v>
      </c>
      <c r="N165" s="19" t="s">
        <v>27</v>
      </c>
      <c r="O165" s="21" t="s">
        <v>517</v>
      </c>
      <c r="P165" s="20" t="s">
        <v>29</v>
      </c>
      <c r="Q165" s="32"/>
      <c r="R165" s="32"/>
      <c r="S165" s="32"/>
      <c r="T165" s="32"/>
    </row>
    <row r="166" spans="2:20" s="1" customFormat="1" ht="80.099999999999994" customHeight="1">
      <c r="B166" s="36">
        <v>138</v>
      </c>
      <c r="C166" s="28" t="s">
        <v>518</v>
      </c>
      <c r="D166" s="28" t="s">
        <v>504</v>
      </c>
      <c r="E166" s="41"/>
      <c r="F166" s="28" t="s">
        <v>514</v>
      </c>
      <c r="G166" s="28" t="s">
        <v>23</v>
      </c>
      <c r="H166" s="43" t="s">
        <v>504</v>
      </c>
      <c r="I166" s="28" t="s">
        <v>519</v>
      </c>
      <c r="J166" s="28" t="s">
        <v>516</v>
      </c>
      <c r="K166" s="40">
        <f>L166*(1-0.22)</f>
        <v>26910</v>
      </c>
      <c r="L166" s="52">
        <v>34500</v>
      </c>
      <c r="M166" s="31">
        <v>0.22</v>
      </c>
      <c r="N166" s="19" t="s">
        <v>27</v>
      </c>
      <c r="O166" s="21" t="s">
        <v>520</v>
      </c>
      <c r="P166" s="20" t="s">
        <v>29</v>
      </c>
      <c r="Q166" s="32"/>
      <c r="R166" s="32"/>
      <c r="S166" s="32"/>
      <c r="T166" s="32"/>
    </row>
    <row r="167" spans="2:20" ht="50.1" customHeight="1">
      <c r="B167" s="63" t="s">
        <v>521</v>
      </c>
      <c r="C167" s="64"/>
      <c r="D167" s="64"/>
      <c r="E167" s="64"/>
      <c r="F167" s="64"/>
      <c r="G167" s="64"/>
      <c r="H167" s="64"/>
      <c r="I167" s="64"/>
      <c r="J167" s="64"/>
      <c r="K167" s="64"/>
      <c r="L167" s="64"/>
      <c r="M167" s="65"/>
      <c r="N167" s="19" t="s">
        <v>27</v>
      </c>
      <c r="O167" s="21" t="s">
        <v>522</v>
      </c>
      <c r="P167" s="20" t="s">
        <v>29</v>
      </c>
    </row>
    <row r="168" spans="2:20" ht="80.099999999999994" customHeight="1">
      <c r="B168" s="10">
        <v>139</v>
      </c>
      <c r="C168" s="11" t="s">
        <v>523</v>
      </c>
      <c r="D168" s="11" t="s">
        <v>524</v>
      </c>
      <c r="E168" s="12"/>
      <c r="F168" s="16" t="s">
        <v>22</v>
      </c>
      <c r="G168" s="11" t="s">
        <v>23</v>
      </c>
      <c r="H168" s="22" t="s">
        <v>525</v>
      </c>
      <c r="I168" s="11" t="s">
        <v>526</v>
      </c>
      <c r="J168" s="11" t="s">
        <v>228</v>
      </c>
      <c r="K168" s="16">
        <f>L168*(1-0.22)</f>
        <v>13650</v>
      </c>
      <c r="L168" s="17">
        <v>17500</v>
      </c>
      <c r="M168" s="18">
        <v>0.22</v>
      </c>
      <c r="N168" s="19" t="s">
        <v>27</v>
      </c>
      <c r="O168" s="21" t="s">
        <v>527</v>
      </c>
      <c r="P168" s="20" t="s">
        <v>29</v>
      </c>
    </row>
    <row r="169" spans="2:20" ht="80.099999999999994" customHeight="1">
      <c r="B169" s="10">
        <v>140</v>
      </c>
      <c r="C169" s="11" t="s">
        <v>528</v>
      </c>
      <c r="D169" s="11" t="s">
        <v>524</v>
      </c>
      <c r="E169" s="12"/>
      <c r="F169" s="16" t="s">
        <v>22</v>
      </c>
      <c r="G169" s="11" t="s">
        <v>23</v>
      </c>
      <c r="H169" s="22" t="s">
        <v>525</v>
      </c>
      <c r="I169" s="11" t="s">
        <v>526</v>
      </c>
      <c r="J169" s="11" t="s">
        <v>228</v>
      </c>
      <c r="K169" s="16">
        <f>L169*(1-0.22)</f>
        <v>13806</v>
      </c>
      <c r="L169" s="17">
        <v>17700</v>
      </c>
      <c r="M169" s="18">
        <v>0.22</v>
      </c>
      <c r="N169" s="19" t="s">
        <v>27</v>
      </c>
      <c r="O169" s="21" t="s">
        <v>529</v>
      </c>
      <c r="P169" s="20" t="s">
        <v>29</v>
      </c>
    </row>
    <row r="170" spans="2:20" ht="80.099999999999994" customHeight="1">
      <c r="B170" s="10">
        <v>141</v>
      </c>
      <c r="C170" s="11" t="s">
        <v>530</v>
      </c>
      <c r="D170" s="11" t="s">
        <v>524</v>
      </c>
      <c r="E170" s="12"/>
      <c r="F170" s="16" t="s">
        <v>22</v>
      </c>
      <c r="G170" s="11" t="s">
        <v>23</v>
      </c>
      <c r="H170" s="22" t="s">
        <v>525</v>
      </c>
      <c r="I170" s="11" t="s">
        <v>531</v>
      </c>
      <c r="J170" s="11" t="s">
        <v>228</v>
      </c>
      <c r="K170" s="16">
        <f>L170*(1-0.22)</f>
        <v>12870</v>
      </c>
      <c r="L170" s="17">
        <v>16500</v>
      </c>
      <c r="M170" s="18">
        <v>0.22</v>
      </c>
      <c r="N170" s="19" t="s">
        <v>27</v>
      </c>
      <c r="O170" s="21" t="s">
        <v>532</v>
      </c>
      <c r="P170" s="20" t="s">
        <v>29</v>
      </c>
    </row>
    <row r="171" spans="2:20" ht="80.099999999999994" customHeight="1">
      <c r="B171" s="10">
        <v>142</v>
      </c>
      <c r="C171" s="11" t="s">
        <v>533</v>
      </c>
      <c r="D171" s="11" t="s">
        <v>524</v>
      </c>
      <c r="E171" s="12"/>
      <c r="F171" s="16" t="s">
        <v>22</v>
      </c>
      <c r="G171" s="11" t="s">
        <v>23</v>
      </c>
      <c r="H171" s="22" t="s">
        <v>525</v>
      </c>
      <c r="I171" s="11" t="s">
        <v>534</v>
      </c>
      <c r="J171" s="11" t="s">
        <v>228</v>
      </c>
      <c r="K171" s="16">
        <f>L171*(1-0.22)</f>
        <v>11076</v>
      </c>
      <c r="L171" s="17">
        <v>14200</v>
      </c>
      <c r="M171" s="18">
        <v>0.22</v>
      </c>
      <c r="N171" s="19" t="s">
        <v>27</v>
      </c>
      <c r="O171" s="21" t="s">
        <v>535</v>
      </c>
      <c r="P171" s="20" t="s">
        <v>29</v>
      </c>
    </row>
    <row r="172" spans="2:20" ht="50.1" customHeight="1">
      <c r="B172" s="63" t="s">
        <v>536</v>
      </c>
      <c r="C172" s="64"/>
      <c r="D172" s="64"/>
      <c r="E172" s="64"/>
      <c r="F172" s="64"/>
      <c r="G172" s="64"/>
      <c r="H172" s="64"/>
      <c r="I172" s="64"/>
      <c r="J172" s="64"/>
      <c r="K172" s="64"/>
      <c r="L172" s="64"/>
      <c r="M172" s="65"/>
      <c r="N172" s="19" t="s">
        <v>27</v>
      </c>
      <c r="O172" s="21" t="s">
        <v>537</v>
      </c>
      <c r="P172" s="20" t="s">
        <v>29</v>
      </c>
    </row>
    <row r="173" spans="2:20" ht="80.099999999999994" customHeight="1">
      <c r="B173" s="10">
        <v>143</v>
      </c>
      <c r="C173" s="11" t="s">
        <v>538</v>
      </c>
      <c r="D173" s="11" t="s">
        <v>539</v>
      </c>
      <c r="E173" s="12"/>
      <c r="F173" s="11" t="s">
        <v>540</v>
      </c>
      <c r="G173" s="11" t="s">
        <v>23</v>
      </c>
      <c r="H173" s="22" t="s">
        <v>541</v>
      </c>
      <c r="I173" s="11" t="s">
        <v>291</v>
      </c>
      <c r="J173" s="11" t="s">
        <v>478</v>
      </c>
      <c r="K173" s="16">
        <f>L173*(1-0.22)</f>
        <v>10140</v>
      </c>
      <c r="L173" s="17">
        <v>13000</v>
      </c>
      <c r="M173" s="18">
        <v>0.22</v>
      </c>
      <c r="N173" s="19" t="s">
        <v>27</v>
      </c>
      <c r="O173" s="21" t="s">
        <v>542</v>
      </c>
      <c r="P173" s="20" t="s">
        <v>29</v>
      </c>
    </row>
    <row r="174" spans="2:20" ht="80.099999999999994" customHeight="1">
      <c r="B174" s="10">
        <v>144</v>
      </c>
      <c r="C174" s="11" t="s">
        <v>543</v>
      </c>
      <c r="D174" s="11" t="s">
        <v>539</v>
      </c>
      <c r="E174" s="12"/>
      <c r="F174" s="11" t="s">
        <v>544</v>
      </c>
      <c r="G174" s="11" t="s">
        <v>23</v>
      </c>
      <c r="H174" s="22" t="s">
        <v>541</v>
      </c>
      <c r="I174" s="11" t="s">
        <v>291</v>
      </c>
      <c r="J174" s="11" t="s">
        <v>545</v>
      </c>
      <c r="K174" s="16">
        <f>L174*(1-0.22)</f>
        <v>14820</v>
      </c>
      <c r="L174" s="17">
        <v>19000</v>
      </c>
      <c r="M174" s="18">
        <v>0.22</v>
      </c>
      <c r="N174" s="19" t="s">
        <v>27</v>
      </c>
      <c r="O174" s="21" t="s">
        <v>546</v>
      </c>
      <c r="P174" s="20" t="s">
        <v>29</v>
      </c>
    </row>
    <row r="175" spans="2:20" ht="80.099999999999994" customHeight="1">
      <c r="B175" s="10">
        <v>145</v>
      </c>
      <c r="C175" s="11" t="s">
        <v>547</v>
      </c>
      <c r="D175" s="11" t="s">
        <v>539</v>
      </c>
      <c r="E175" s="12"/>
      <c r="F175" s="11" t="s">
        <v>544</v>
      </c>
      <c r="G175" s="11" t="s">
        <v>23</v>
      </c>
      <c r="H175" s="22" t="s">
        <v>541</v>
      </c>
      <c r="I175" s="11" t="s">
        <v>291</v>
      </c>
      <c r="J175" s="11" t="s">
        <v>548</v>
      </c>
      <c r="K175" s="16">
        <f>L175*(1-0.22)</f>
        <v>24960</v>
      </c>
      <c r="L175" s="17">
        <v>32000</v>
      </c>
      <c r="M175" s="18">
        <v>0.22</v>
      </c>
      <c r="N175" s="19" t="s">
        <v>27</v>
      </c>
      <c r="O175" s="21" t="s">
        <v>549</v>
      </c>
      <c r="P175" s="20" t="s">
        <v>29</v>
      </c>
    </row>
    <row r="176" spans="2:20" s="1" customFormat="1" ht="80.099999999999994" customHeight="1">
      <c r="B176" s="36">
        <v>146</v>
      </c>
      <c r="C176" s="28" t="s">
        <v>550</v>
      </c>
      <c r="D176" s="28" t="s">
        <v>539</v>
      </c>
      <c r="E176" s="41"/>
      <c r="F176" s="28" t="s">
        <v>544</v>
      </c>
      <c r="G176" s="28" t="s">
        <v>23</v>
      </c>
      <c r="H176" s="43" t="s">
        <v>541</v>
      </c>
      <c r="I176" s="28" t="s">
        <v>291</v>
      </c>
      <c r="J176" s="28" t="s">
        <v>548</v>
      </c>
      <c r="K176" s="40">
        <f>L176*(1-0.22)</f>
        <v>24960</v>
      </c>
      <c r="L176" s="30">
        <v>32000</v>
      </c>
      <c r="M176" s="31">
        <v>0.22</v>
      </c>
      <c r="N176" s="19" t="s">
        <v>27</v>
      </c>
      <c r="O176" s="21" t="s">
        <v>551</v>
      </c>
      <c r="P176" s="20" t="s">
        <v>29</v>
      </c>
      <c r="Q176" s="32"/>
      <c r="R176" s="32"/>
      <c r="S176" s="32"/>
      <c r="T176" s="32"/>
    </row>
    <row r="177" spans="2:20" ht="50.1" customHeight="1">
      <c r="B177" s="63" t="s">
        <v>552</v>
      </c>
      <c r="C177" s="64"/>
      <c r="D177" s="64"/>
      <c r="E177" s="64"/>
      <c r="F177" s="64"/>
      <c r="G177" s="64"/>
      <c r="H177" s="64"/>
      <c r="I177" s="64"/>
      <c r="J177" s="64"/>
      <c r="K177" s="64"/>
      <c r="L177" s="64"/>
      <c r="M177" s="65"/>
      <c r="N177" s="19" t="s">
        <v>27</v>
      </c>
      <c r="O177" s="21" t="s">
        <v>553</v>
      </c>
      <c r="P177" s="20" t="s">
        <v>29</v>
      </c>
    </row>
    <row r="178" spans="2:20" ht="80.099999999999994" customHeight="1">
      <c r="B178" s="10">
        <v>147</v>
      </c>
      <c r="C178" s="11" t="s">
        <v>554</v>
      </c>
      <c r="D178" s="11" t="s">
        <v>555</v>
      </c>
      <c r="E178" s="12"/>
      <c r="F178" s="11" t="s">
        <v>556</v>
      </c>
      <c r="G178" s="11" t="s">
        <v>23</v>
      </c>
      <c r="H178" s="22" t="s">
        <v>557</v>
      </c>
      <c r="I178" s="11" t="s">
        <v>558</v>
      </c>
      <c r="J178" s="11" t="s">
        <v>559</v>
      </c>
      <c r="K178" s="16">
        <f>L178*(1-0.22)</f>
        <v>9750</v>
      </c>
      <c r="L178" s="17">
        <v>12500</v>
      </c>
      <c r="M178" s="18">
        <v>0.22</v>
      </c>
      <c r="N178" s="19" t="s">
        <v>27</v>
      </c>
      <c r="O178" s="21" t="s">
        <v>560</v>
      </c>
      <c r="P178" s="20" t="s">
        <v>29</v>
      </c>
    </row>
    <row r="179" spans="2:20" ht="80.099999999999994" customHeight="1">
      <c r="B179" s="10">
        <v>148</v>
      </c>
      <c r="C179" s="11" t="s">
        <v>561</v>
      </c>
      <c r="D179" s="11" t="s">
        <v>555</v>
      </c>
      <c r="E179" s="12"/>
      <c r="F179" s="11" t="s">
        <v>556</v>
      </c>
      <c r="G179" s="11" t="s">
        <v>23</v>
      </c>
      <c r="H179" s="22" t="s">
        <v>557</v>
      </c>
      <c r="I179" s="11" t="s">
        <v>562</v>
      </c>
      <c r="J179" s="11" t="s">
        <v>559</v>
      </c>
      <c r="K179" s="16">
        <f>L179*(1-0.22)</f>
        <v>13650</v>
      </c>
      <c r="L179" s="17">
        <v>17500</v>
      </c>
      <c r="M179" s="18">
        <v>0.22</v>
      </c>
      <c r="N179" s="19" t="s">
        <v>27</v>
      </c>
      <c r="O179" s="21" t="s">
        <v>563</v>
      </c>
      <c r="P179" s="20" t="s">
        <v>29</v>
      </c>
    </row>
    <row r="180" spans="2:20" ht="80.099999999999994" customHeight="1">
      <c r="B180" s="10">
        <v>149</v>
      </c>
      <c r="C180" s="11" t="s">
        <v>564</v>
      </c>
      <c r="D180" s="11" t="s">
        <v>555</v>
      </c>
      <c r="E180" s="12"/>
      <c r="F180" s="11" t="s">
        <v>556</v>
      </c>
      <c r="G180" s="11" t="s">
        <v>23</v>
      </c>
      <c r="H180" s="22" t="s">
        <v>557</v>
      </c>
      <c r="I180" s="11" t="s">
        <v>565</v>
      </c>
      <c r="J180" s="11" t="s">
        <v>559</v>
      </c>
      <c r="K180" s="16">
        <f>L180*(1-0.22)</f>
        <v>16770</v>
      </c>
      <c r="L180" s="17">
        <v>21500</v>
      </c>
      <c r="M180" s="18">
        <v>0.22</v>
      </c>
      <c r="N180" s="19" t="s">
        <v>27</v>
      </c>
      <c r="O180" s="21" t="s">
        <v>566</v>
      </c>
      <c r="P180" s="20" t="s">
        <v>29</v>
      </c>
    </row>
    <row r="181" spans="2:20" ht="80.099999999999994" customHeight="1">
      <c r="B181" s="10">
        <v>150</v>
      </c>
      <c r="C181" s="11" t="s">
        <v>567</v>
      </c>
      <c r="D181" s="11" t="s">
        <v>552</v>
      </c>
      <c r="E181" s="12"/>
      <c r="F181" s="11" t="s">
        <v>556</v>
      </c>
      <c r="G181" s="11" t="s">
        <v>23</v>
      </c>
      <c r="H181" s="22" t="s">
        <v>557</v>
      </c>
      <c r="I181" s="11" t="s">
        <v>568</v>
      </c>
      <c r="J181" s="11" t="s">
        <v>559</v>
      </c>
      <c r="K181" s="16">
        <f>L181*(1-0.22)</f>
        <v>27300</v>
      </c>
      <c r="L181" s="17">
        <v>35000</v>
      </c>
      <c r="M181" s="18">
        <v>0.22</v>
      </c>
      <c r="N181" s="19" t="s">
        <v>27</v>
      </c>
      <c r="O181" s="21" t="s">
        <v>569</v>
      </c>
      <c r="P181" s="20" t="s">
        <v>29</v>
      </c>
    </row>
    <row r="182" spans="2:20" ht="80.099999999999994" customHeight="1">
      <c r="B182" s="10">
        <v>151</v>
      </c>
      <c r="C182" s="11" t="s">
        <v>570</v>
      </c>
      <c r="D182" s="11" t="s">
        <v>552</v>
      </c>
      <c r="E182" s="12"/>
      <c r="F182" s="11" t="s">
        <v>556</v>
      </c>
      <c r="G182" s="11" t="s">
        <v>23</v>
      </c>
      <c r="H182" s="22" t="s">
        <v>557</v>
      </c>
      <c r="I182" s="11" t="s">
        <v>571</v>
      </c>
      <c r="J182" s="11" t="s">
        <v>559</v>
      </c>
      <c r="K182" s="16">
        <f>L182*(1-0.22)</f>
        <v>29250</v>
      </c>
      <c r="L182" s="17">
        <v>37500</v>
      </c>
      <c r="M182" s="18">
        <v>0.22</v>
      </c>
      <c r="N182" s="19" t="s">
        <v>27</v>
      </c>
      <c r="O182" s="21" t="s">
        <v>572</v>
      </c>
      <c r="P182" s="20" t="s">
        <v>29</v>
      </c>
    </row>
    <row r="183" spans="2:20" ht="50.1" customHeight="1">
      <c r="B183" s="63" t="s">
        <v>573</v>
      </c>
      <c r="C183" s="64"/>
      <c r="D183" s="64"/>
      <c r="E183" s="64"/>
      <c r="F183" s="64"/>
      <c r="G183" s="64"/>
      <c r="H183" s="64"/>
      <c r="I183" s="64"/>
      <c r="J183" s="64"/>
      <c r="K183" s="64"/>
      <c r="L183" s="64"/>
      <c r="M183" s="65"/>
      <c r="N183" s="19" t="s">
        <v>27</v>
      </c>
      <c r="O183" s="21" t="s">
        <v>574</v>
      </c>
      <c r="P183" s="20" t="s">
        <v>29</v>
      </c>
    </row>
    <row r="184" spans="2:20" ht="80.099999999999994" customHeight="1">
      <c r="B184" s="10">
        <v>152</v>
      </c>
      <c r="C184" s="11" t="s">
        <v>575</v>
      </c>
      <c r="D184" s="11" t="s">
        <v>576</v>
      </c>
      <c r="E184" s="12"/>
      <c r="F184" s="11" t="s">
        <v>556</v>
      </c>
      <c r="G184" s="11" t="s">
        <v>23</v>
      </c>
      <c r="H184" s="22" t="s">
        <v>577</v>
      </c>
      <c r="I184" s="11" t="s">
        <v>578</v>
      </c>
      <c r="J184" s="11" t="s">
        <v>559</v>
      </c>
      <c r="K184" s="16">
        <f>L184*(1-0.22)</f>
        <v>26910</v>
      </c>
      <c r="L184" s="17">
        <v>34500</v>
      </c>
      <c r="M184" s="18">
        <v>0.22</v>
      </c>
      <c r="N184" s="19" t="s">
        <v>27</v>
      </c>
      <c r="O184" s="21" t="s">
        <v>579</v>
      </c>
      <c r="P184" s="20" t="s">
        <v>29</v>
      </c>
    </row>
    <row r="185" spans="2:20" ht="80.099999999999994" customHeight="1">
      <c r="B185" s="10">
        <v>153</v>
      </c>
      <c r="C185" s="11" t="s">
        <v>580</v>
      </c>
      <c r="D185" s="11" t="s">
        <v>576</v>
      </c>
      <c r="E185" s="12"/>
      <c r="F185" s="11" t="s">
        <v>556</v>
      </c>
      <c r="G185" s="11" t="s">
        <v>23</v>
      </c>
      <c r="H185" s="22" t="s">
        <v>577</v>
      </c>
      <c r="I185" s="11" t="s">
        <v>581</v>
      </c>
      <c r="J185" s="11" t="s">
        <v>559</v>
      </c>
      <c r="K185" s="16">
        <f>L185*(1-0.22)</f>
        <v>27690</v>
      </c>
      <c r="L185" s="17">
        <v>35500</v>
      </c>
      <c r="M185" s="18">
        <v>0.22</v>
      </c>
      <c r="N185" s="19" t="s">
        <v>27</v>
      </c>
      <c r="O185" s="21" t="s">
        <v>582</v>
      </c>
      <c r="P185" s="20" t="s">
        <v>29</v>
      </c>
    </row>
    <row r="186" spans="2:20" ht="80.099999999999994" customHeight="1">
      <c r="B186" s="10">
        <v>154</v>
      </c>
      <c r="C186" s="11" t="s">
        <v>583</v>
      </c>
      <c r="D186" s="11" t="s">
        <v>576</v>
      </c>
      <c r="E186" s="12"/>
      <c r="F186" s="11" t="s">
        <v>556</v>
      </c>
      <c r="G186" s="11" t="s">
        <v>23</v>
      </c>
      <c r="H186" s="22" t="s">
        <v>577</v>
      </c>
      <c r="I186" s="11" t="s">
        <v>581</v>
      </c>
      <c r="J186" s="11" t="s">
        <v>559</v>
      </c>
      <c r="K186" s="16">
        <f>L186*(1-0.22)</f>
        <v>21840</v>
      </c>
      <c r="L186" s="17">
        <v>28000</v>
      </c>
      <c r="M186" s="18">
        <v>0.22</v>
      </c>
      <c r="N186" s="19" t="s">
        <v>27</v>
      </c>
      <c r="O186" s="21" t="s">
        <v>584</v>
      </c>
      <c r="P186" s="20" t="s">
        <v>29</v>
      </c>
    </row>
    <row r="187" spans="2:20" ht="50.1" customHeight="1">
      <c r="B187" s="63" t="s">
        <v>585</v>
      </c>
      <c r="C187" s="64"/>
      <c r="D187" s="64"/>
      <c r="E187" s="64"/>
      <c r="F187" s="64"/>
      <c r="G187" s="64"/>
      <c r="H187" s="64"/>
      <c r="I187" s="64"/>
      <c r="J187" s="64"/>
      <c r="K187" s="64"/>
      <c r="L187" s="64"/>
      <c r="M187" s="65"/>
      <c r="N187" s="19" t="s">
        <v>27</v>
      </c>
      <c r="O187" s="21" t="s">
        <v>586</v>
      </c>
      <c r="P187" s="20" t="s">
        <v>29</v>
      </c>
    </row>
    <row r="188" spans="2:20" s="1" customFormat="1" ht="80.099999999999994" customHeight="1">
      <c r="B188" s="36">
        <v>155</v>
      </c>
      <c r="C188" s="28" t="s">
        <v>587</v>
      </c>
      <c r="D188" s="28" t="s">
        <v>588</v>
      </c>
      <c r="E188" s="41"/>
      <c r="F188" s="28" t="s">
        <v>589</v>
      </c>
      <c r="G188" s="28" t="s">
        <v>23</v>
      </c>
      <c r="H188" s="50" t="s">
        <v>466</v>
      </c>
      <c r="I188" s="28" t="s">
        <v>590</v>
      </c>
      <c r="J188" s="28" t="s">
        <v>591</v>
      </c>
      <c r="K188" s="40">
        <f>L188*(1-0.22)</f>
        <v>0</v>
      </c>
      <c r="L188" s="52">
        <v>0</v>
      </c>
      <c r="M188" s="53">
        <v>0.22</v>
      </c>
      <c r="N188" s="54" t="s">
        <v>27</v>
      </c>
      <c r="O188" s="55" t="s">
        <v>592</v>
      </c>
      <c r="P188" s="56" t="s">
        <v>29</v>
      </c>
      <c r="Q188" s="32"/>
      <c r="R188" s="32"/>
      <c r="S188" s="32"/>
      <c r="T188" s="32"/>
    </row>
    <row r="189" spans="2:20">
      <c r="N189" s="2"/>
      <c r="O189" s="5"/>
      <c r="P189" s="5"/>
    </row>
    <row r="190" spans="2:20">
      <c r="N190" s="2"/>
      <c r="O190" s="5"/>
      <c r="P190" s="5"/>
    </row>
    <row r="191" spans="2:20">
      <c r="N191" s="2"/>
      <c r="O191" s="5"/>
      <c r="P191" s="5"/>
    </row>
    <row r="192" spans="2:20">
      <c r="N192" s="2"/>
      <c r="O192" s="5"/>
      <c r="P192" s="5"/>
    </row>
    <row r="193" spans="14:16">
      <c r="N193" s="2"/>
      <c r="O193" s="5"/>
      <c r="P193" s="5"/>
    </row>
    <row r="194" spans="14:16">
      <c r="N194" s="2"/>
      <c r="O194" s="5"/>
      <c r="P194" s="5"/>
    </row>
    <row r="195" spans="14:16">
      <c r="N195" s="2"/>
      <c r="O195" s="5"/>
      <c r="P195" s="5"/>
    </row>
    <row r="196" spans="14:16">
      <c r="N196" s="2"/>
      <c r="O196" s="5"/>
      <c r="P196" s="5"/>
    </row>
    <row r="197" spans="14:16">
      <c r="N197" s="2"/>
      <c r="O197" s="5"/>
      <c r="P197" s="5"/>
    </row>
    <row r="198" spans="14:16">
      <c r="N198" s="2"/>
      <c r="O198" s="5"/>
      <c r="P198" s="5"/>
    </row>
    <row r="199" spans="14:16">
      <c r="N199" s="2"/>
      <c r="O199" s="5"/>
      <c r="P199" s="5"/>
    </row>
    <row r="200" spans="14:16">
      <c r="N200" s="2"/>
      <c r="O200" s="5"/>
      <c r="P200" s="5"/>
    </row>
    <row r="201" spans="14:16">
      <c r="N201" s="2"/>
      <c r="O201" s="5"/>
      <c r="P201" s="5"/>
    </row>
    <row r="202" spans="14:16">
      <c r="N202" s="2"/>
      <c r="O202" s="5"/>
      <c r="P202" s="5"/>
    </row>
    <row r="203" spans="14:16">
      <c r="N203" s="2"/>
      <c r="O203" s="5"/>
      <c r="P203" s="5"/>
    </row>
    <row r="204" spans="14:16">
      <c r="N204" s="2"/>
      <c r="O204" s="5"/>
      <c r="P204" s="5"/>
    </row>
    <row r="205" spans="14:16">
      <c r="N205" s="2"/>
      <c r="O205" s="5"/>
      <c r="P205" s="5"/>
    </row>
    <row r="206" spans="14:16">
      <c r="N206" s="2"/>
      <c r="O206" s="5"/>
      <c r="P206" s="5"/>
    </row>
    <row r="207" spans="14:16">
      <c r="N207" s="2"/>
      <c r="O207" s="5"/>
      <c r="P207" s="5"/>
    </row>
    <row r="208" spans="14:16">
      <c r="N208" s="2"/>
      <c r="O208" s="5"/>
      <c r="P208" s="5"/>
    </row>
    <row r="209" spans="14:16">
      <c r="N209" s="2"/>
      <c r="O209" s="5"/>
      <c r="P209" s="5"/>
    </row>
    <row r="210" spans="14:16">
      <c r="N210" s="2"/>
      <c r="O210" s="5"/>
      <c r="P210" s="5"/>
    </row>
    <row r="211" spans="14:16">
      <c r="N211" s="2"/>
      <c r="O211" s="5"/>
      <c r="P211" s="5"/>
    </row>
    <row r="212" spans="14:16">
      <c r="N212" s="2"/>
      <c r="O212" s="5"/>
      <c r="P212" s="5"/>
    </row>
    <row r="213" spans="14:16">
      <c r="N213" s="2"/>
      <c r="O213" s="5"/>
      <c r="P213" s="5"/>
    </row>
    <row r="214" spans="14:16">
      <c r="N214" s="2"/>
      <c r="O214" s="5"/>
      <c r="P214" s="5"/>
    </row>
    <row r="215" spans="14:16">
      <c r="N215" s="2"/>
      <c r="O215" s="5"/>
      <c r="P215" s="5"/>
    </row>
    <row r="216" spans="14:16">
      <c r="N216" s="2"/>
      <c r="O216" s="5"/>
      <c r="P216" s="5"/>
    </row>
    <row r="217" spans="14:16">
      <c r="N217" s="2"/>
      <c r="O217" s="5"/>
      <c r="P217" s="5"/>
    </row>
    <row r="218" spans="14:16">
      <c r="N218" s="2"/>
      <c r="O218" s="5"/>
      <c r="P218" s="5"/>
    </row>
    <row r="219" spans="14:16">
      <c r="N219" s="2"/>
      <c r="O219" s="5"/>
      <c r="P219" s="5"/>
    </row>
    <row r="220" spans="14:16">
      <c r="N220" s="2"/>
      <c r="O220" s="5"/>
      <c r="P220" s="5"/>
    </row>
    <row r="221" spans="14:16">
      <c r="N221" s="2"/>
      <c r="O221" s="5"/>
      <c r="P221" s="5"/>
    </row>
    <row r="222" spans="14:16">
      <c r="N222" s="2"/>
      <c r="O222" s="5"/>
      <c r="P222" s="5"/>
    </row>
    <row r="223" spans="14:16">
      <c r="N223" s="2"/>
      <c r="O223" s="5"/>
      <c r="P223" s="5"/>
    </row>
    <row r="224" spans="14:16">
      <c r="N224" s="2"/>
      <c r="O224" s="5"/>
      <c r="P224" s="5"/>
    </row>
    <row r="225" spans="14:16">
      <c r="N225" s="2"/>
      <c r="O225" s="5"/>
      <c r="P225" s="5"/>
    </row>
    <row r="226" spans="14:16">
      <c r="N226" s="2"/>
      <c r="O226" s="5"/>
      <c r="P226" s="5"/>
    </row>
    <row r="227" spans="14:16">
      <c r="N227" s="2"/>
      <c r="O227" s="5"/>
      <c r="P227" s="5"/>
    </row>
    <row r="228" spans="14:16">
      <c r="N228" s="2"/>
      <c r="O228" s="5"/>
      <c r="P228" s="5"/>
    </row>
    <row r="229" spans="14:16">
      <c r="N229" s="2"/>
      <c r="O229" s="5"/>
      <c r="P229" s="5"/>
    </row>
    <row r="230" spans="14:16">
      <c r="N230" s="2"/>
      <c r="O230" s="5"/>
      <c r="P230" s="5"/>
    </row>
    <row r="231" spans="14:16">
      <c r="N231" s="2"/>
      <c r="O231" s="5"/>
      <c r="P231" s="5"/>
    </row>
    <row r="232" spans="14:16">
      <c r="N232" s="2"/>
      <c r="O232" s="5"/>
      <c r="P232" s="5"/>
    </row>
    <row r="233" spans="14:16">
      <c r="N233" s="2"/>
      <c r="O233" s="5"/>
      <c r="P233" s="5"/>
    </row>
    <row r="234" spans="14:16">
      <c r="N234" s="2"/>
      <c r="O234" s="5"/>
      <c r="P234" s="5"/>
    </row>
    <row r="235" spans="14:16">
      <c r="N235" s="2"/>
      <c r="O235" s="5"/>
      <c r="P235" s="5"/>
    </row>
    <row r="236" spans="14:16">
      <c r="N236" s="2"/>
      <c r="O236" s="5"/>
      <c r="P236" s="5"/>
    </row>
    <row r="237" spans="14:16">
      <c r="N237" s="2"/>
      <c r="O237" s="5"/>
      <c r="P237" s="5"/>
    </row>
    <row r="238" spans="14:16">
      <c r="N238" s="2"/>
      <c r="O238" s="5"/>
      <c r="P238" s="5"/>
    </row>
    <row r="239" spans="14:16">
      <c r="N239" s="2"/>
      <c r="O239" s="5"/>
      <c r="P239" s="5"/>
    </row>
    <row r="240" spans="14:16">
      <c r="N240" s="2"/>
      <c r="O240" s="5"/>
      <c r="P240" s="5"/>
    </row>
    <row r="241" spans="14:16">
      <c r="N241" s="2"/>
      <c r="O241" s="5"/>
      <c r="P241" s="5"/>
    </row>
    <row r="242" spans="14:16">
      <c r="N242" s="2"/>
      <c r="O242" s="5"/>
      <c r="P242" s="5"/>
    </row>
    <row r="243" spans="14:16">
      <c r="N243" s="2"/>
      <c r="O243" s="5"/>
      <c r="P243" s="5"/>
    </row>
    <row r="244" spans="14:16">
      <c r="N244" s="2"/>
      <c r="O244" s="5"/>
      <c r="P244" s="5"/>
    </row>
    <row r="245" spans="14:16">
      <c r="N245" s="2"/>
      <c r="O245" s="5"/>
      <c r="P245" s="5"/>
    </row>
    <row r="246" spans="14:16">
      <c r="N246" s="2"/>
      <c r="O246" s="5"/>
      <c r="P246" s="5"/>
    </row>
    <row r="247" spans="14:16">
      <c r="N247" s="2"/>
      <c r="O247" s="5"/>
      <c r="P247" s="5"/>
    </row>
    <row r="248" spans="14:16">
      <c r="N248" s="2"/>
      <c r="O248" s="5"/>
      <c r="P248" s="5"/>
    </row>
    <row r="249" spans="14:16">
      <c r="N249" s="2"/>
      <c r="O249" s="5"/>
      <c r="P249" s="5"/>
    </row>
    <row r="250" spans="14:16">
      <c r="N250" s="2"/>
      <c r="O250" s="5"/>
      <c r="P250" s="5"/>
    </row>
    <row r="251" spans="14:16">
      <c r="N251" s="2"/>
      <c r="O251" s="5"/>
      <c r="P251" s="5"/>
    </row>
    <row r="252" spans="14:16">
      <c r="N252" s="2"/>
      <c r="O252" s="5"/>
      <c r="P252" s="5"/>
    </row>
    <row r="253" spans="14:16">
      <c r="N253" s="2"/>
      <c r="O253" s="5"/>
      <c r="P253" s="5"/>
    </row>
    <row r="254" spans="14:16">
      <c r="N254" s="2"/>
      <c r="O254" s="5"/>
      <c r="P254" s="5"/>
    </row>
    <row r="255" spans="14:16">
      <c r="N255" s="2"/>
      <c r="O255" s="5"/>
      <c r="P255" s="5"/>
    </row>
    <row r="256" spans="14:16">
      <c r="N256" s="2"/>
      <c r="O256" s="5"/>
      <c r="P256" s="5"/>
    </row>
    <row r="257" spans="14:16">
      <c r="N257" s="2"/>
      <c r="O257" s="5"/>
      <c r="P257" s="5"/>
    </row>
    <row r="258" spans="14:16">
      <c r="N258" s="2"/>
      <c r="O258" s="5"/>
      <c r="P258" s="5"/>
    </row>
    <row r="259" spans="14:16">
      <c r="N259" s="2"/>
      <c r="O259" s="5"/>
      <c r="P259" s="5"/>
    </row>
    <row r="260" spans="14:16">
      <c r="N260" s="2"/>
      <c r="O260" s="5"/>
      <c r="P260" s="5"/>
    </row>
    <row r="261" spans="14:16">
      <c r="N261" s="2"/>
      <c r="O261" s="5"/>
      <c r="P261" s="5"/>
    </row>
    <row r="262" spans="14:16">
      <c r="N262" s="2"/>
      <c r="O262" s="5"/>
      <c r="P262" s="5"/>
    </row>
    <row r="263" spans="14:16">
      <c r="N263" s="2"/>
      <c r="O263" s="5"/>
      <c r="P263" s="5"/>
    </row>
    <row r="264" spans="14:16">
      <c r="N264" s="2"/>
      <c r="O264" s="5"/>
      <c r="P264" s="5"/>
    </row>
    <row r="265" spans="14:16">
      <c r="N265" s="2"/>
      <c r="O265" s="5"/>
      <c r="P265" s="5"/>
    </row>
    <row r="266" spans="14:16">
      <c r="N266" s="2"/>
      <c r="O266" s="5"/>
      <c r="P266" s="5"/>
    </row>
    <row r="267" spans="14:16">
      <c r="N267" s="2"/>
      <c r="O267" s="5"/>
      <c r="P267" s="5"/>
    </row>
    <row r="268" spans="14:16">
      <c r="N268" s="2"/>
      <c r="O268" s="5"/>
      <c r="P268" s="5"/>
    </row>
    <row r="269" spans="14:16">
      <c r="N269" s="2"/>
      <c r="O269" s="5"/>
      <c r="P269" s="5"/>
    </row>
    <row r="270" spans="14:16">
      <c r="N270" s="2"/>
      <c r="O270" s="5"/>
      <c r="P270" s="5"/>
    </row>
    <row r="271" spans="14:16">
      <c r="N271" s="2"/>
      <c r="O271" s="5"/>
      <c r="P271" s="5"/>
    </row>
    <row r="272" spans="14:16">
      <c r="N272" s="2"/>
      <c r="O272" s="5"/>
      <c r="P272" s="5"/>
    </row>
    <row r="273" spans="14:16">
      <c r="N273" s="2"/>
      <c r="O273" s="5"/>
      <c r="P273" s="5"/>
    </row>
    <row r="274" spans="14:16">
      <c r="N274" s="2"/>
      <c r="O274" s="5"/>
      <c r="P274" s="5"/>
    </row>
    <row r="275" spans="14:16">
      <c r="N275" s="2"/>
      <c r="O275" s="5"/>
      <c r="P275" s="5"/>
    </row>
    <row r="276" spans="14:16">
      <c r="N276" s="2"/>
      <c r="O276" s="5"/>
      <c r="P276" s="5"/>
    </row>
    <row r="277" spans="14:16">
      <c r="N277" s="2"/>
      <c r="O277" s="5"/>
      <c r="P277" s="5"/>
    </row>
    <row r="278" spans="14:16">
      <c r="N278" s="2"/>
      <c r="O278" s="5"/>
      <c r="P278" s="5"/>
    </row>
    <row r="279" spans="14:16">
      <c r="N279" s="2"/>
      <c r="O279" s="5"/>
      <c r="P279" s="5"/>
    </row>
    <row r="280" spans="14:16">
      <c r="N280" s="2"/>
      <c r="O280" s="5"/>
      <c r="P280" s="5"/>
    </row>
    <row r="281" spans="14:16">
      <c r="N281" s="2"/>
      <c r="O281" s="5"/>
      <c r="P281" s="5"/>
    </row>
    <row r="282" spans="14:16">
      <c r="N282" s="2"/>
      <c r="O282" s="5"/>
      <c r="P282" s="5"/>
    </row>
    <row r="283" spans="14:16">
      <c r="N283" s="2"/>
      <c r="O283" s="5"/>
      <c r="P283" s="5"/>
    </row>
    <row r="284" spans="14:16">
      <c r="N284" s="2"/>
      <c r="O284" s="5"/>
      <c r="P284" s="5"/>
    </row>
    <row r="285" spans="14:16">
      <c r="N285" s="2"/>
      <c r="O285" s="5"/>
      <c r="P285" s="5"/>
    </row>
    <row r="286" spans="14:16">
      <c r="N286" s="2"/>
      <c r="O286" s="5"/>
      <c r="P286" s="5"/>
    </row>
    <row r="287" spans="14:16">
      <c r="N287" s="2"/>
      <c r="O287" s="5"/>
      <c r="P287" s="5"/>
    </row>
    <row r="288" spans="14:16">
      <c r="N288" s="2"/>
      <c r="O288" s="5"/>
      <c r="P288" s="5"/>
    </row>
    <row r="289" spans="14:16">
      <c r="N289" s="2"/>
      <c r="O289" s="5"/>
      <c r="P289" s="5"/>
    </row>
    <row r="290" spans="14:16">
      <c r="N290" s="2"/>
      <c r="O290" s="5"/>
      <c r="P290" s="5"/>
    </row>
    <row r="291" spans="14:16">
      <c r="N291" s="2"/>
      <c r="O291" s="5"/>
      <c r="P291" s="5"/>
    </row>
    <row r="292" spans="14:16">
      <c r="N292" s="2"/>
      <c r="O292" s="5"/>
      <c r="P292" s="5"/>
    </row>
    <row r="293" spans="14:16">
      <c r="N293" s="2"/>
      <c r="O293" s="5"/>
      <c r="P293" s="5"/>
    </row>
    <row r="294" spans="14:16">
      <c r="N294" s="2"/>
      <c r="O294" s="5"/>
      <c r="P294" s="5"/>
    </row>
    <row r="295" spans="14:16">
      <c r="N295" s="2"/>
      <c r="O295" s="5"/>
      <c r="P295" s="5"/>
    </row>
    <row r="296" spans="14:16">
      <c r="N296" s="2"/>
      <c r="O296" s="5"/>
      <c r="P296" s="5"/>
    </row>
    <row r="297" spans="14:16">
      <c r="N297" s="2"/>
      <c r="O297" s="5"/>
      <c r="P297" s="5"/>
    </row>
    <row r="298" spans="14:16">
      <c r="N298" s="2"/>
      <c r="O298" s="5"/>
      <c r="P298" s="5"/>
    </row>
    <row r="299" spans="14:16">
      <c r="N299" s="2"/>
      <c r="O299" s="5"/>
      <c r="P299" s="5"/>
    </row>
    <row r="300" spans="14:16">
      <c r="N300" s="2"/>
      <c r="O300" s="5"/>
      <c r="P300" s="5"/>
    </row>
    <row r="301" spans="14:16">
      <c r="N301" s="2"/>
      <c r="O301" s="5"/>
      <c r="P301" s="5"/>
    </row>
    <row r="302" spans="14:16">
      <c r="N302" s="2"/>
      <c r="O302" s="5"/>
      <c r="P302" s="5"/>
    </row>
    <row r="303" spans="14:16">
      <c r="N303" s="2"/>
      <c r="O303" s="5"/>
      <c r="P303" s="5"/>
    </row>
    <row r="304" spans="14:16">
      <c r="N304" s="2"/>
      <c r="O304" s="5"/>
      <c r="P304" s="5"/>
    </row>
    <row r="305" spans="14:16">
      <c r="N305" s="2"/>
      <c r="O305" s="5"/>
      <c r="P305" s="5"/>
    </row>
    <row r="306" spans="14:16">
      <c r="N306" s="2"/>
      <c r="O306" s="5"/>
      <c r="P306" s="5"/>
    </row>
    <row r="307" spans="14:16">
      <c r="N307" s="2"/>
      <c r="O307" s="5"/>
      <c r="P307" s="5"/>
    </row>
    <row r="308" spans="14:16">
      <c r="N308" s="2"/>
      <c r="O308" s="5"/>
      <c r="P308" s="5"/>
    </row>
    <row r="309" spans="14:16">
      <c r="N309" s="2"/>
      <c r="O309" s="5"/>
      <c r="P309" s="5"/>
    </row>
    <row r="310" spans="14:16">
      <c r="N310" s="2"/>
      <c r="O310" s="5"/>
      <c r="P310" s="5"/>
    </row>
    <row r="311" spans="14:16">
      <c r="N311" s="2"/>
      <c r="O311" s="5"/>
      <c r="P311" s="5"/>
    </row>
    <row r="312" spans="14:16">
      <c r="N312" s="2"/>
      <c r="O312" s="5"/>
      <c r="P312" s="5"/>
    </row>
    <row r="313" spans="14:16">
      <c r="N313" s="2"/>
      <c r="O313" s="5"/>
      <c r="P313" s="5"/>
    </row>
    <row r="314" spans="14:16">
      <c r="N314" s="2"/>
      <c r="O314" s="5"/>
      <c r="P314" s="5"/>
    </row>
    <row r="315" spans="14:16">
      <c r="N315" s="2"/>
      <c r="O315" s="5"/>
      <c r="P315" s="5"/>
    </row>
    <row r="316" spans="14:16">
      <c r="N316" s="2"/>
      <c r="O316" s="5"/>
      <c r="P316" s="5"/>
    </row>
    <row r="317" spans="14:16">
      <c r="N317" s="2"/>
      <c r="O317" s="5"/>
      <c r="P317" s="5"/>
    </row>
    <row r="318" spans="14:16">
      <c r="N318" s="2"/>
      <c r="O318" s="5"/>
      <c r="P318" s="5"/>
    </row>
    <row r="319" spans="14:16">
      <c r="N319" s="2"/>
      <c r="O319" s="5"/>
      <c r="P319" s="5"/>
    </row>
    <row r="320" spans="14:16">
      <c r="N320" s="2"/>
      <c r="O320" s="5"/>
      <c r="P320" s="5"/>
    </row>
    <row r="321" spans="14:16">
      <c r="N321" s="2"/>
      <c r="O321" s="5"/>
      <c r="P321" s="5"/>
    </row>
    <row r="322" spans="14:16">
      <c r="N322" s="2"/>
      <c r="O322" s="5"/>
      <c r="P322" s="5"/>
    </row>
    <row r="323" spans="14:16">
      <c r="N323" s="2"/>
      <c r="O323" s="5"/>
      <c r="P323" s="5"/>
    </row>
    <row r="324" spans="14:16">
      <c r="N324" s="2"/>
      <c r="O324" s="5"/>
      <c r="P324" s="5"/>
    </row>
    <row r="325" spans="14:16">
      <c r="N325" s="2"/>
      <c r="O325" s="5"/>
      <c r="P325" s="5"/>
    </row>
    <row r="326" spans="14:16">
      <c r="N326" s="2"/>
      <c r="O326" s="5"/>
      <c r="P326" s="5"/>
    </row>
    <row r="327" spans="14:16">
      <c r="N327" s="2"/>
      <c r="O327" s="5"/>
      <c r="P327" s="5"/>
    </row>
    <row r="328" spans="14:16">
      <c r="N328" s="2"/>
      <c r="O328" s="5"/>
      <c r="P328" s="5"/>
    </row>
    <row r="329" spans="14:16">
      <c r="N329" s="2"/>
      <c r="O329" s="5"/>
      <c r="P329" s="5"/>
    </row>
    <row r="330" spans="14:16">
      <c r="N330" s="2"/>
      <c r="O330" s="5"/>
      <c r="P330" s="5"/>
    </row>
    <row r="331" spans="14:16">
      <c r="N331" s="2"/>
      <c r="O331" s="5"/>
      <c r="P331" s="5"/>
    </row>
    <row r="332" spans="14:16">
      <c r="N332" s="2"/>
      <c r="O332" s="5"/>
      <c r="P332" s="5"/>
    </row>
    <row r="333" spans="14:16">
      <c r="N333" s="2"/>
      <c r="O333" s="5"/>
      <c r="P333" s="5"/>
    </row>
    <row r="334" spans="14:16">
      <c r="N334" s="2"/>
      <c r="O334" s="5"/>
      <c r="P334" s="5"/>
    </row>
    <row r="335" spans="14:16">
      <c r="N335" s="2"/>
      <c r="O335" s="5"/>
      <c r="P335" s="5"/>
    </row>
    <row r="336" spans="14:16">
      <c r="N336" s="2"/>
      <c r="O336" s="5"/>
      <c r="P336" s="5"/>
    </row>
    <row r="337" spans="14:16">
      <c r="N337" s="2"/>
      <c r="O337" s="5"/>
      <c r="P337" s="5"/>
    </row>
    <row r="338" spans="14:16">
      <c r="N338" s="2"/>
      <c r="O338" s="5"/>
      <c r="P338" s="5"/>
    </row>
    <row r="339" spans="14:16">
      <c r="N339" s="2"/>
      <c r="O339" s="5"/>
      <c r="P339" s="5"/>
    </row>
    <row r="340" spans="14:16">
      <c r="N340" s="2"/>
      <c r="O340" s="5"/>
      <c r="P340" s="5"/>
    </row>
    <row r="341" spans="14:16">
      <c r="N341" s="2"/>
      <c r="O341" s="5"/>
      <c r="P341" s="5"/>
    </row>
    <row r="342" spans="14:16">
      <c r="N342" s="2"/>
      <c r="O342" s="5"/>
      <c r="P342" s="5"/>
    </row>
    <row r="343" spans="14:16">
      <c r="N343" s="2"/>
      <c r="O343" s="5"/>
      <c r="P343" s="5"/>
    </row>
    <row r="344" spans="14:16">
      <c r="N344" s="2"/>
      <c r="O344" s="5"/>
      <c r="P344" s="5"/>
    </row>
    <row r="345" spans="14:16">
      <c r="N345" s="2"/>
      <c r="O345" s="5"/>
      <c r="P345" s="5"/>
    </row>
    <row r="346" spans="14:16">
      <c r="N346" s="2"/>
      <c r="O346" s="5"/>
      <c r="P346" s="5"/>
    </row>
    <row r="347" spans="14:16">
      <c r="N347" s="2"/>
      <c r="O347" s="5"/>
      <c r="P347" s="5"/>
    </row>
    <row r="348" spans="14:16">
      <c r="N348" s="2"/>
      <c r="O348" s="5"/>
      <c r="P348" s="5"/>
    </row>
    <row r="349" spans="14:16">
      <c r="N349" s="2"/>
      <c r="O349" s="5"/>
      <c r="P349" s="5"/>
    </row>
    <row r="350" spans="14:16">
      <c r="N350" s="2"/>
      <c r="O350" s="5"/>
      <c r="P350" s="5"/>
    </row>
    <row r="351" spans="14:16">
      <c r="N351" s="2"/>
      <c r="O351" s="5"/>
      <c r="P351" s="5"/>
    </row>
    <row r="352" spans="14:16">
      <c r="N352" s="2"/>
      <c r="O352" s="5"/>
      <c r="P352" s="5"/>
    </row>
    <row r="353" spans="14:16">
      <c r="N353" s="2"/>
      <c r="O353" s="5"/>
      <c r="P353" s="5"/>
    </row>
    <row r="354" spans="14:16">
      <c r="N354" s="2"/>
      <c r="O354" s="5"/>
      <c r="P354" s="5"/>
    </row>
    <row r="355" spans="14:16">
      <c r="N355" s="2"/>
      <c r="O355" s="5"/>
      <c r="P355" s="5"/>
    </row>
    <row r="356" spans="14:16">
      <c r="N356" s="2"/>
      <c r="O356" s="5"/>
      <c r="P356" s="5"/>
    </row>
    <row r="357" spans="14:16">
      <c r="N357" s="2"/>
      <c r="O357" s="5"/>
      <c r="P357" s="5"/>
    </row>
    <row r="358" spans="14:16">
      <c r="N358" s="2"/>
      <c r="O358" s="5"/>
      <c r="P358" s="5"/>
    </row>
    <row r="359" spans="14:16">
      <c r="N359" s="2"/>
      <c r="O359" s="5"/>
      <c r="P359" s="5"/>
    </row>
    <row r="360" spans="14:16">
      <c r="N360" s="2"/>
      <c r="O360" s="5"/>
      <c r="P360" s="5"/>
    </row>
    <row r="361" spans="14:16">
      <c r="N361" s="2"/>
      <c r="O361" s="5"/>
      <c r="P361" s="5"/>
    </row>
    <row r="362" spans="14:16">
      <c r="N362" s="2"/>
      <c r="O362" s="5"/>
      <c r="P362" s="5"/>
    </row>
    <row r="363" spans="14:16">
      <c r="N363" s="2"/>
      <c r="O363" s="5"/>
      <c r="P363" s="5"/>
    </row>
    <row r="364" spans="14:16">
      <c r="N364" s="57"/>
      <c r="O364" s="58"/>
      <c r="P364" s="58"/>
    </row>
  </sheetData>
  <mergeCells count="98">
    <mergeCell ref="J84:J85"/>
    <mergeCell ref="J86:J87"/>
    <mergeCell ref="N3:N4"/>
    <mergeCell ref="O3:O4"/>
    <mergeCell ref="P3:P4"/>
    <mergeCell ref="J74:J75"/>
    <mergeCell ref="J76:J77"/>
    <mergeCell ref="J78:J79"/>
    <mergeCell ref="J80:J81"/>
    <mergeCell ref="J82:J83"/>
    <mergeCell ref="H82:H83"/>
    <mergeCell ref="H84:H85"/>
    <mergeCell ref="H86:H87"/>
    <mergeCell ref="I3:I4"/>
    <mergeCell ref="I72:I73"/>
    <mergeCell ref="I74:I75"/>
    <mergeCell ref="I76:I77"/>
    <mergeCell ref="I78:I79"/>
    <mergeCell ref="I80:I81"/>
    <mergeCell ref="I82:I83"/>
    <mergeCell ref="I84:I85"/>
    <mergeCell ref="I86:I87"/>
    <mergeCell ref="H72:H73"/>
    <mergeCell ref="H74:H75"/>
    <mergeCell ref="H76:H77"/>
    <mergeCell ref="H78:H79"/>
    <mergeCell ref="H80:H81"/>
    <mergeCell ref="F82:F83"/>
    <mergeCell ref="F84:F85"/>
    <mergeCell ref="F86:F87"/>
    <mergeCell ref="G72:G73"/>
    <mergeCell ref="G74:G75"/>
    <mergeCell ref="G76:G77"/>
    <mergeCell ref="G78:G79"/>
    <mergeCell ref="G80:G81"/>
    <mergeCell ref="G82:G83"/>
    <mergeCell ref="G84:G85"/>
    <mergeCell ref="G86:G87"/>
    <mergeCell ref="F72:F73"/>
    <mergeCell ref="F74:F75"/>
    <mergeCell ref="F76:F77"/>
    <mergeCell ref="F78:F79"/>
    <mergeCell ref="F80:F81"/>
    <mergeCell ref="C86:C87"/>
    <mergeCell ref="D3:D4"/>
    <mergeCell ref="E3:E4"/>
    <mergeCell ref="E72:E73"/>
    <mergeCell ref="E74:E75"/>
    <mergeCell ref="E76:E77"/>
    <mergeCell ref="E78:E79"/>
    <mergeCell ref="E80:E81"/>
    <mergeCell ref="E82:E83"/>
    <mergeCell ref="E84:E85"/>
    <mergeCell ref="E86:E87"/>
    <mergeCell ref="C76:C77"/>
    <mergeCell ref="C78:C79"/>
    <mergeCell ref="C80:C81"/>
    <mergeCell ref="C82:C83"/>
    <mergeCell ref="C84:C85"/>
    <mergeCell ref="B172:M172"/>
    <mergeCell ref="B177:M177"/>
    <mergeCell ref="B183:M183"/>
    <mergeCell ref="B187:M187"/>
    <mergeCell ref="B3:B4"/>
    <mergeCell ref="B72:B73"/>
    <mergeCell ref="B74:B75"/>
    <mergeCell ref="B76:B77"/>
    <mergeCell ref="B78:B79"/>
    <mergeCell ref="B80:B81"/>
    <mergeCell ref="B82:B83"/>
    <mergeCell ref="B84:B85"/>
    <mergeCell ref="B86:B87"/>
    <mergeCell ref="C3:C4"/>
    <mergeCell ref="C72:C73"/>
    <mergeCell ref="C74:C75"/>
    <mergeCell ref="B155:M155"/>
    <mergeCell ref="B157:M157"/>
    <mergeCell ref="B159:M159"/>
    <mergeCell ref="B162:M162"/>
    <mergeCell ref="B167:M167"/>
    <mergeCell ref="B88:M88"/>
    <mergeCell ref="B91:M91"/>
    <mergeCell ref="B112:M112"/>
    <mergeCell ref="B131:M131"/>
    <mergeCell ref="B149:M149"/>
    <mergeCell ref="E89:E90"/>
    <mergeCell ref="B41:M41"/>
    <mergeCell ref="B55:M55"/>
    <mergeCell ref="B60:M60"/>
    <mergeCell ref="B64:M64"/>
    <mergeCell ref="B71:M71"/>
    <mergeCell ref="B1:M1"/>
    <mergeCell ref="B2:M2"/>
    <mergeCell ref="G3:H3"/>
    <mergeCell ref="K3:M3"/>
    <mergeCell ref="B33:M33"/>
    <mergeCell ref="F3:F4"/>
    <mergeCell ref="J3:J4"/>
  </mergeCells>
  <pageMargins left="0.7" right="0.7" top="0.75" bottom="0.75" header="0.3" footer="0.3"/>
  <pageSetup scale="10" orientation="portrait"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Office Furniture (2)</vt:lpstr>
      <vt:lpstr>'Office Furniture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2026-06-23T10:50:00Z</dcterms:created>
  <dcterms:modified xsi:type="dcterms:W3CDTF">2026-08-03T07:08:05Z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8F9A843C6CE44F82A4F5AE9F60A4DCA9_11</vt:lpwstr>
  </property>
  <property fmtid="{D5CDD505-2E9C-101B-9397-08002B2CF9AE}" pid="3" name="KSOProductBuildVer">
    <vt:lpwstr>1033-12.1.0.26880</vt:lpwstr>
  </property>
  <property fmtid="{D5CDD505-2E9C-101B-9397-08002B2CF9AE}" pid="4" name="CalculationRule">
    <vt:i4>1</vt:i4>
  </property>
</Properties>
</file>