
<file path=[Content_Types].xml><?xml version="1.0" encoding="utf-8"?>
<Types xmlns="http://schemas.openxmlformats.org/package/2006/content-types">
  <Default Extension="jpeg" ContentType="image/jpeg"/>
  <Default Extension="JPG" ContentType="image/.jpg"/>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300"/>
  </bookViews>
  <sheets>
    <sheet name="Office Furniture (2)" sheetId="1" r:id="rId1"/>
  </sheets>
  <definedNames>
    <definedName name="_xlnm.Print_Area" localSheetId="0">'Office Furniture (2)'!$B$1:$P$188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<sst xmlns="http://schemas.openxmlformats.org/spreadsheetml/2006/main" count="1713" uniqueCount="593">
  <si>
    <t>Talukder Furniture Ltd.</t>
  </si>
  <si>
    <t>Office Furniture Specifications</t>
  </si>
  <si>
    <t>SL No</t>
  </si>
  <si>
    <t>Product Code</t>
  </si>
  <si>
    <t xml:space="preserve">Product Name </t>
  </si>
  <si>
    <t xml:space="preserve">Picture </t>
  </si>
  <si>
    <t>Product Description</t>
  </si>
  <si>
    <t>Category</t>
  </si>
  <si>
    <t>Measurement</t>
  </si>
  <si>
    <t>Color</t>
  </si>
  <si>
    <t>Price</t>
  </si>
  <si>
    <t>Description</t>
  </si>
  <si>
    <t>Care and Maintenance</t>
  </si>
  <si>
    <t>Warranty Info</t>
  </si>
  <si>
    <t>Main</t>
  </si>
  <si>
    <t>Sub</t>
  </si>
  <si>
    <t>DP</t>
  </si>
  <si>
    <t>MRP</t>
  </si>
  <si>
    <t>Discount</t>
  </si>
  <si>
    <t>1</t>
  </si>
  <si>
    <t>TFL-STO-201 LB</t>
  </si>
  <si>
    <t>Sr. Executive Table</t>
  </si>
  <si>
    <t>Melamine Face Chip Board  &amp; Imported Foreign Accessories</t>
  </si>
  <si>
    <t xml:space="preserve">Office furniture </t>
  </si>
  <si>
    <t>Sr.Executive Tables</t>
  </si>
  <si>
    <t>Size: L 1800 x W 1800 x H 750 mm</t>
  </si>
  <si>
    <t xml:space="preserve">Beech+Black </t>
  </si>
  <si>
    <t>Description is not available yet . Will be Added soon.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</si>
  <si>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</si>
  <si>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Wooden furniture warranties cover structural and manufacturing defects under normal residential use for anywhere for  year. The policy usually covers joinery, frame integrity, and hardware, while excluding natural wood characteristics and accidental damage.
</t>
  </si>
  <si>
    <t>2</t>
  </si>
  <si>
    <t>TFL-STO-202 LB</t>
  </si>
  <si>
    <t>3</t>
  </si>
  <si>
    <t>TFL-STO-203 LB</t>
  </si>
  <si>
    <t>Size: L 1800 x W 1600 x H 750 mm</t>
  </si>
  <si>
    <t>4</t>
  </si>
  <si>
    <t>TFL-STO-204 LB</t>
  </si>
  <si>
    <t xml:space="preserve">Melamine Face Chip Board  &amp; Imported Foreign Accessories+MS Tube Metal Leg </t>
  </si>
  <si>
    <t xml:space="preserve">Beech+Black+White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</si>
  <si>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 months to restore shine and keep the wood hydrated.
Prevent Scratches: Use felt pads under lamps, vases, and decorative items to avoid scraping the finish
Manage Humidity: Wood expands and contracts with moisture. Aim to keep your indoor humidity levels steady.
</t>
  </si>
  <si>
    <t>5</t>
  </si>
  <si>
    <t>TFL-STO-205 LB</t>
  </si>
  <si>
    <t>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</si>
  <si>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 months to restore shine and keep the wood hydrated.
Prevent Scratches: Use felt pads under lamps, vases, and decorative items to avoid scraping the finish
Manage Humidity: Wood expands and contracts with moisture. Aim to keep your indoor humidity levels steady.
</t>
  </si>
  <si>
    <t>6</t>
  </si>
  <si>
    <t>TFL-STO-206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</si>
  <si>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 months to restore shine and keep the wood hydrated.
Prevent Scratches: Use felt pads under lamps, vases, and decorative items to avoid scraping the finish
Manage Humidity: Wood expands and contracts with moisture. Aim to keep your indoor humidity levels steady.
</t>
  </si>
  <si>
    <t>7</t>
  </si>
  <si>
    <t>TFL-STO-207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</si>
  <si>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 months to restore shine and keep the wood hydrated.
Prevent Scratches: Use felt pads under lamps, vases, and decorative items to avoid scraping the finish
Manage Humidity: Wood expands and contracts with moisture. Aim to keep your indoor humidity levels steady.
</t>
  </si>
  <si>
    <t>8</t>
  </si>
  <si>
    <t>TFL-STO-208 LB</t>
  </si>
  <si>
    <t>Size: L 1600 x W 750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</si>
  <si>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 months to restore shine and keep the wood hydrated.
Prevent Scratches: Use felt pads under lamps, vases, and decorative items to avoid scraping the finish
Manage Humidity: Wood expands and contracts with moisture. Aim to keep your indoor humidity levels steady.
</t>
  </si>
  <si>
    <t>9</t>
  </si>
  <si>
    <t>TFL-STO-209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</si>
  <si>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 months to restore shine and keep the wood hydrated.
Prevent Scratches: Use felt pads under lamps, vases, and decorative items to avoid scraping the finish
Manage Humidity: Wood expands and contracts with moisture. Aim to keep your indoor humidity levels steady.
</t>
  </si>
  <si>
    <t>10</t>
  </si>
  <si>
    <t>TFL-STO-210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</si>
  <si>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 months to restore shine and keep the wood hydrated.
Prevent Scratches: Use felt pads under lamps, vases, and decorative items to avoid scraping the finish
Manage Humidity: Wood expands and contracts with moisture. Aim to keep your indoor humidity levels steady.
</t>
  </si>
  <si>
    <t>11</t>
  </si>
  <si>
    <t>TFL-STO-211 LB</t>
  </si>
  <si>
    <t>Size: L 1600 x W 800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</si>
  <si>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20 months to restore shine and keep the wood hydrated.
Prevent Scratches: Use felt pads under lamps, vases, and decorative items to avoid scraping the finish
Manage Humidity: Wood expands and contracts with moisture. Aim to keep your indoor humidity levels steady.
</t>
  </si>
  <si>
    <t>12</t>
  </si>
  <si>
    <t>TFL-STO-212 LB</t>
  </si>
  <si>
    <t xml:space="preserve">Antique+Black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</si>
  <si>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21 months to restore shine and keep the wood hydrated.
Prevent Scratches: Use felt pads under lamps, vases, and decorative items to avoid scraping the finish
Manage Humidity: Wood expands and contracts with moisture. Aim to keep your indoor humidity levels steady.
</t>
  </si>
  <si>
    <t>13</t>
  </si>
  <si>
    <t>TFL-STO-213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</si>
  <si>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22 months to restore shine and keep the wood hydrated.
Prevent Scratches: Use felt pads under lamps, vases, and decorative items to avoid scraping the finish
Manage Humidity: Wood expands and contracts with moisture. Aim to keep your indoor humidity levels steady.
</t>
  </si>
  <si>
    <t>14</t>
  </si>
  <si>
    <t>TFL-STO-214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</si>
  <si>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23 months to restore shine and keep the wood hydrated.
Prevent Scratches: Use felt pads under lamps, vases, and decorative items to avoid scraping the finish
Manage Humidity: Wood expands and contracts with moisture. Aim to keep your indoor humidity levels steady.
</t>
  </si>
  <si>
    <t>15</t>
  </si>
  <si>
    <t>TFL-ETO-215 LB</t>
  </si>
  <si>
    <t>Executive Table</t>
  </si>
  <si>
    <t>Executive Tables</t>
  </si>
  <si>
    <t>Size: L 1200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</si>
  <si>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24 months to restore shine and keep the wood hydrated.
Prevent Scratches: Use felt pads under lamps, vases, and decorative items to avoid scraping the finish
Manage Humidity: Wood expands and contracts with moisture. Aim to keep your indoor humidity levels steady.
</t>
  </si>
  <si>
    <t>16</t>
  </si>
  <si>
    <t>TFL-ETO-216 LB</t>
  </si>
  <si>
    <t>Size: L 1200 x W 650 x H 750 mm</t>
  </si>
  <si>
    <t xml:space="preserve">Beech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</si>
  <si>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25 months to restore shine and keep the wood hydrated.
Prevent Scratches: Use felt pads under lamps, vases, and decorative items to avoid scraping the finish
Manage Humidity: Wood expands and contracts with moisture. Aim to keep your indoor humidity levels steady.
</t>
  </si>
  <si>
    <t>17</t>
  </si>
  <si>
    <t>TFL-ETO-217 LB</t>
  </si>
  <si>
    <t>Size: L 1500 x W 750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</si>
  <si>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26 months to restore shine and keep the wood hydrated.
Prevent Scratches: Use felt pads under lamps, vases, and decorative items to avoid scraping the finish
Manage Humidity: Wood expands and contracts with moisture. Aim to keep your indoor humidity levels steady.
</t>
  </si>
  <si>
    <t>18</t>
  </si>
  <si>
    <t>TFL-ETO-218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</si>
  <si>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27 months to restore shine and keep the wood hydrated.
Prevent Scratches: Use felt pads under lamps, vases, and decorative items to avoid scraping the finish
Manage Humidity: Wood expands and contracts with moisture. Aim to keep your indoor humidity levels steady.
</t>
  </si>
  <si>
    <t>19</t>
  </si>
  <si>
    <t>TFL-ETO-219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</si>
  <si>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28 months to restore shine and keep the wood hydrated.
Prevent Scratches: Use felt pads under lamps, vases, and decorative items to avoid scraping the finish
Manage Humidity: Wood expands and contracts with moisture. Aim to keep your indoor humidity levels steady.
</t>
  </si>
  <si>
    <t>20</t>
  </si>
  <si>
    <t>TFL-ETO-220 LB</t>
  </si>
  <si>
    <t>Size: L 1400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</si>
  <si>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29 months to restore shine and keep the wood hydrated.
Prevent Scratches: Use felt pads under lamps, vases, and decorative items to avoid scraping the finish
Manage Humidity: Wood expands and contracts with moisture. Aim to keep your indoor humidity levels steady.
</t>
  </si>
  <si>
    <t>21</t>
  </si>
  <si>
    <t>TFL-ETO-221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</si>
  <si>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30 months to restore shine and keep the wood hydrated.
Prevent Scratches: Use felt pads under lamps, vases, and decorative items to avoid scraping the finish
Manage Humidity: Wood expands and contracts with moisture. Aim to keep your indoor humidity levels steady.
</t>
  </si>
  <si>
    <t>22</t>
  </si>
  <si>
    <t>TFL-ETO-222 LB</t>
  </si>
  <si>
    <t>Size: L 1500 x W 650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</si>
  <si>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31 months to restore shine and keep the wood hydrated.
Prevent Scratches: Use felt pads under lamps, vases, and decorative items to avoid scraping the finish
Manage Humidity: Wood expands and contracts with moisture. Aim to keep your indoor humidity levels steady.
</t>
  </si>
  <si>
    <t>23</t>
  </si>
  <si>
    <t>TFL-ETO-223 LB</t>
  </si>
  <si>
    <t>Size: L 1000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</si>
  <si>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32 months to restore shine and keep the wood hydrated.
Prevent Scratches: Use felt pads under lamps, vases, and decorative items to avoid scraping the finish
Manage Humidity: Wood expands and contracts with moisture. Aim to keep your indoor humidity levels steady.
</t>
  </si>
  <si>
    <t>24</t>
  </si>
  <si>
    <t>TFL-ETO-224 LB</t>
  </si>
  <si>
    <t>Size: L 900 x W 600 x H 750 mm</t>
  </si>
  <si>
    <t>Gray+Black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</si>
  <si>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33 months to restore shine and keep the wood hydrated.
Prevent Scratches: Use felt pads under lamps, vases, and decorative items to avoid scraping the finish
Manage Humidity: Wood expands and contracts with moisture. Aim to keep your indoor humidity levels steady.
</t>
  </si>
  <si>
    <t>25</t>
  </si>
  <si>
    <t>TFL-ETO-225 LB</t>
  </si>
  <si>
    <t>Antique+Gray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</si>
  <si>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34 months to restore shine and keep the wood hydrated.
Prevent Scratches: Use felt pads under lamps, vases, and decorative items to avoid scraping the finish
Manage Humidity: Wood expands and contracts with moisture. Aim to keep your indoor humidity levels steady.
</t>
  </si>
  <si>
    <t>26</t>
  </si>
  <si>
    <t>TFL-ETO-226 LB</t>
  </si>
  <si>
    <t>Size: L 1400 x W 700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</si>
  <si>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35 months to restore shine and keep the wood hydrated.
Prevent Scratches: Use felt pads under lamps, vases, and decorative items to avoid scraping the finish
Manage Humidity: Wood expands and contracts with moisture. Aim to keep your indoor humidity levels steady.
</t>
  </si>
  <si>
    <t>27</t>
  </si>
  <si>
    <t>TFL-ETO-227 LB</t>
  </si>
  <si>
    <t>L 1500 x W 700 x H 750 mm</t>
  </si>
  <si>
    <t>Antique+Beech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</si>
  <si>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36 months to restore shine and keep the wood hydrated.
Prevent Scratches: Use felt pads under lamps, vases, and decorative items to avoid scraping the finish
Manage Humidity: Wood expands and contracts with moisture. Aim to keep your indoor humidity levels steady.
</t>
  </si>
  <si>
    <t>28</t>
  </si>
  <si>
    <t>TFL-ETO-228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</si>
  <si>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37 months to restore shine and keep the wood hydrated.
Prevent Scratches: Use felt pads under lamps, vases, and decorative items to avoid scraping the finish
Manage Humidity: Wood expands and contracts with moisture. Aim to keep your indoor humidity levels steady.
</t>
  </si>
  <si>
    <t>Drawer Unit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</si>
  <si>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38 months to restore shine and keep the wood hydrated.
Prevent Scratches: Use felt pads under lamps, vases, and decorative items to avoid scraping the finish
Manage Humidity: Wood expands and contracts with moisture. Aim to keep your indoor humidity levels steady.
</t>
  </si>
  <si>
    <t>TFL-DUO-201 LB</t>
  </si>
  <si>
    <t>Mobile Drawer Unit</t>
  </si>
  <si>
    <t>Drawer Units</t>
  </si>
  <si>
    <t>Size: L 400 x W 450 x H 650 mm</t>
  </si>
  <si>
    <t xml:space="preserve">Beech+White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</si>
  <si>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39 months to restore shine and keep the wood hydrated.
Prevent Scratches: Use felt pads under lamps, vases, and decorative items to avoid scraping the finish
Manage Humidity: Wood expands and contracts with moisture. Aim to keep your indoor humidity levels steady.
</t>
  </si>
  <si>
    <t>TFL-DUO-202 LB</t>
  </si>
  <si>
    <t>Size: L 400 x W 480 x H 650 mm</t>
  </si>
  <si>
    <t xml:space="preserve">Oak+Black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</si>
  <si>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40 months to restore shine and keep the wood hydrated.
Prevent Scratches: Use felt pads under lamps, vases, and decorative items to avoid scraping the finish
Manage Humidity: Wood expands and contracts with moisture. Aim to keep your indoor humidity levels steady.
</t>
  </si>
  <si>
    <t>TFL-DUO-203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</si>
  <si>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41 months to restore shine and keep the wood hydrated.
Prevent Scratches: Use felt pads under lamps, vases, and decorative items to avoid scraping the finish
Manage Humidity: Wood expands and contracts with moisture. Aim to keep your indoor humidity levels steady.
</t>
  </si>
  <si>
    <t>TFL-DUO-204 LB</t>
  </si>
  <si>
    <t>Size: L 400 x W 450 x H 500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</si>
  <si>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42 months to restore shine and keep the wood hydrated.
Prevent Scratches: Use felt pads under lamps, vases, and decorative items to avoid scraping the finish
Manage Humidity: Wood expands and contracts with moisture. Aim to keep your indoor humidity levels steady.
</t>
  </si>
  <si>
    <t>TFL-DUO-205 LB</t>
  </si>
  <si>
    <t>Hanging Drawer</t>
  </si>
  <si>
    <t>Size: L 400 x W 450 x H 450 mm</t>
  </si>
  <si>
    <t>Beech+Black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</si>
  <si>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43 months to restore shine and keep the wood hydrated.
Prevent Scratches: Use felt pads under lamps, vases, and decorative items to avoid scraping the finish
Manage Humidity: Wood expands and contracts with moisture. Aim to keep your indoor humidity levels steady.
</t>
  </si>
  <si>
    <t>TFL-DUO-206 LB</t>
  </si>
  <si>
    <t>Size: L 400 x W 450 x H 300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</si>
  <si>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44 months to restore shine and keep the wood hydrated.
Prevent Scratches: Use felt pads under lamps, vases, and decorative items to avoid scraping the finish
Manage Humidity: Wood expands and contracts with moisture. Aim to keep your indoor humidity levels steady.
</t>
  </si>
  <si>
    <t>TFL-DUO-207 LB</t>
  </si>
  <si>
    <t>Size: L 400 x W 450 x H 175 mm</t>
  </si>
  <si>
    <t xml:space="preserve">Gray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</si>
  <si>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45 months to restore shine and keep the wood hydrated.
Prevent Scratches: Use felt pads under lamps, vases, and decorative items to avoid scraping the finish
Manage Humidity: Wood expands and contracts with moisture. Aim to keep your indoor humidity levels steady.
</t>
  </si>
  <si>
    <t>Side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</si>
  <si>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46 months to restore shine and keep the wood hydrated.
Prevent Scratches: Use felt pads under lamps, vases, and decorative items to avoid scraping the finish
Manage Humidity: Wood expands and contracts with moisture. Aim to keep your indoor humidity levels steady.
</t>
  </si>
  <si>
    <t>TFL-SRO-201 LB</t>
  </si>
  <si>
    <t>Side Rack</t>
  </si>
  <si>
    <t>Storage &amp; Organizers</t>
  </si>
  <si>
    <t>Size: L 1050 x W 400 x H 750 mm</t>
  </si>
  <si>
    <t xml:space="preserve">Teak,Grey,oak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</si>
  <si>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47 months to restore shine and keep the wood hydrated.
Prevent Scratches: Use felt pads under lamps, vases, and decorative items to avoid scraping the finish
Manage Humidity: Wood expands and contracts with moisture. Aim to keep your indoor humidity levels steady.
</t>
  </si>
  <si>
    <t>TFL-SRO-202 LB</t>
  </si>
  <si>
    <t>Size: L 900 x W 400 x H 750 mm</t>
  </si>
  <si>
    <t xml:space="preserve">Teak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</si>
  <si>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48 months to restore shine and keep the wood hydrated.
Prevent Scratches: Use felt pads under lamps, vases, and decorative items to avoid scraping the finish
Manage Humidity: Wood expands and contracts with moisture. Aim to keep your indoor humidity levels steady.
</t>
  </si>
  <si>
    <t>TFL-SRO-203 LB</t>
  </si>
  <si>
    <t>Size: L 800 x W 400 x H 750 mm</t>
  </si>
  <si>
    <t xml:space="preserve">Teak, Grey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</si>
  <si>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49 months to restore shine and keep the wood hydrated.
Prevent Scratches: Use felt pads under lamps, vases, and decorative items to avoid scraping the finish
Manage Humidity: Wood expands and contracts with moisture. Aim to keep your indoor humidity levels steady.
</t>
  </si>
  <si>
    <t>TFL-SRO-204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</si>
  <si>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50 months to restore shine and keep the wood hydrated.
Prevent Scratches: Use felt pads under lamps, vases, and decorative items to avoid scraping the finish
Manage Humidity: Wood expands and contracts with moisture. Aim to keep your indoor humidity levels steady.
</t>
  </si>
  <si>
    <t>TFL-SRO-205 LB</t>
  </si>
  <si>
    <t>Size: L 1200 x W 400 x H 750 mm</t>
  </si>
  <si>
    <t xml:space="preserve">Antique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</si>
  <si>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51 months to restore shine and keep the wood hydrated.
Prevent Scratches: Use felt pads under lamps, vases, and decorative items to avoid scraping the finish
Manage Humidity: Wood expands and contracts with moisture. Aim to keep your indoor humidity levels steady.
</t>
  </si>
  <si>
    <t>TFL-SRO-206 LB</t>
  </si>
  <si>
    <t>Size: L 1000 x W 400 x H 750 mm</t>
  </si>
  <si>
    <t>Beech</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</si>
  <si>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52 months to restore shine and keep the wood hydrated.
Prevent Scratches: Use felt pads under lamps, vases, and decorative items to avoid scraping the finish
Manage Humidity: Wood expands and contracts with moisture. Aim to keep your indoor humidity levels steady.
</t>
  </si>
  <si>
    <t>Computer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</si>
  <si>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53 months to restore shine and keep the wood hydrated.
Prevent Scratches: Use felt pads under lamps, vases, and decorative items to avoid scraping the finish
Manage Humidity: Wood expands and contracts with moisture. Aim to keep your indoor humidity levels steady.
</t>
  </si>
  <si>
    <t>TFL-CTO-201 LB</t>
  </si>
  <si>
    <t xml:space="preserve">Office Furniture </t>
  </si>
  <si>
    <t>Table</t>
  </si>
  <si>
    <t>L 2110 x W 1880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</si>
  <si>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54 months to restore shine and keep the wood hydrated.
Prevent Scratches: Use felt pads under lamps, vases, and decorative items to avoid scraping the finish
Manage Humidity: Wood expands and contracts with moisture. Aim to keep your indoor humidity levels steady.
</t>
  </si>
  <si>
    <t>TFL-CTO-202 LB</t>
  </si>
  <si>
    <t>L 2060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</si>
  <si>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55 months to restore shine and keep the wood hydrated.
Prevent Scratches: Use felt pads under lamps, vases, and decorative items to avoid scraping the finish
Manage Humidity: Wood expands and contracts with moisture. Aim to keep your indoor humidity levels steady.
</t>
  </si>
  <si>
    <t>TFL-CTO-203 LB</t>
  </si>
  <si>
    <t>L 2060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</si>
  <si>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56 months to restore shine and keep the wood hydrated.
Prevent Scratches: Use felt pads under lamps, vases, and decorative items to avoid scraping the finish
Manage Humidity: Wood expands and contracts with moisture. Aim to keep your indoor humidity levels steady.
</t>
  </si>
  <si>
    <t>TFL-CTO-204 LB</t>
  </si>
  <si>
    <t>L 2060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</si>
  <si>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57 months to restore shine and keep the wood hydrated.
Prevent Scratches: Use felt pads under lamps, vases, and decorative items to avoid scraping the finish
Manage Humidity: Wood expands and contracts with moisture. Aim to keep your indoor humidity levels steady.
</t>
  </si>
  <si>
    <t>TFL-CTO-205 LB</t>
  </si>
  <si>
    <t>L 450 x W 400 x H 455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</si>
  <si>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58 months to restore shine and keep the wood hydrated.
Prevent Scratches: Use felt pads under lamps, vases, and decorative items to avoid scraping the finish
Manage Humidity: Wood expands and contracts with moisture. Aim to keep your indoor humidity levels steady.
</t>
  </si>
  <si>
    <t>TFL-CTO-206 LB</t>
  </si>
  <si>
    <t>L 2064 x W 1590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</si>
  <si>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59 months to restore shine and keep the wood hydrated.
Prevent Scratches: Use felt pads under lamps, vases, and decorative items to avoid scraping the finish
Manage Humidity: Wood expands and contracts with moisture. Aim to keep your indoor humidity levels steady.
</t>
  </si>
  <si>
    <t>Multipurpose Shelf</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</si>
  <si>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60 months to restore shine and keep the wood hydrated.
Prevent Scratches: Use felt pads under lamps, vases, and decorative items to avoid scraping the finish
Manage Humidity: Wood expands and contracts with moisture. Aim to keep your indoor humidity levels steady.
</t>
  </si>
  <si>
    <t>TFL-MPO-201 LB</t>
  </si>
  <si>
    <t>Office furniture</t>
  </si>
  <si>
    <t>L 2064 x W 1740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</si>
  <si>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61 months to restore shine and keep the wood hydrated.
Prevent Scratches: Use felt pads under lamps, vases, and decorative items to avoid scraping the finish
Manage Humidity: Wood expands and contracts with moisture. Aim to keep your indoor humidity levels steady.
</t>
  </si>
  <si>
    <t>TFL-MPO-202 LB</t>
  </si>
  <si>
    <t>L 2064 x W 1890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</si>
  <si>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62 months to restore shine and keep the wood hydrated.
Prevent Scratches: Use felt pads under lamps, vases, and decorative items to avoid scraping the finish
Manage Humidity: Wood expands and contracts with moisture. Aim to keep your indoor humidity levels steady.
</t>
  </si>
  <si>
    <t>TFL-MPO-203 LB</t>
  </si>
  <si>
    <t>L 2120 x W 1580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</si>
  <si>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63 months to restore shine and keep the wood hydrated.
Prevent Scratches: Use felt pads under lamps, vases, and decorative items to avoid scraping the finish
Manage Humidity: Wood expands and contracts with moisture. Aim to keep your indoor humidity levels steady.
</t>
  </si>
  <si>
    <t>TFL-MPO-204 LB</t>
  </si>
  <si>
    <t>L 2120 x W 1730 x H 850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</si>
  <si>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64 months to restore shine and keep the wood hydrated.
Prevent Scratches: Use felt pads under lamps, vases, and decorative items to avoid scraping the finish
Manage Humidity: Wood expands and contracts with moisture. Aim to keep your indoor humidity levels steady.
</t>
  </si>
  <si>
    <t>Hanging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</si>
  <si>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65 months to restore shine and keep the wood hydrated.
Prevent Scratches: Use felt pads under lamps, vases, and decorative items to avoid scraping the finish
Manage Humidity: Wood expands and contracts with moisture. Aim to keep your indoor humidity levels steady.
</t>
  </si>
  <si>
    <t>TFL-HCO-201 LB</t>
  </si>
  <si>
    <t>Hanging File Cabinet</t>
  </si>
  <si>
    <t>L 2120 x W 1880 x H 850 mm</t>
  </si>
  <si>
    <t>Grey/Beech/Antique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</si>
  <si>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66 months to restore shine and keep the wood hydrated.
Prevent Scratches: Use felt pads under lamps, vases, and decorative items to avoid scraping the finish
Manage Humidity: Wood expands and contracts with moisture. Aim to keep your indoor humidity levels steady.
</t>
  </si>
  <si>
    <t>TFL-HCO-202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</si>
  <si>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</si>
  <si>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68 months to restore shine and keep the wood hydrated.
Prevent Scratches: Use felt pads under lamps, vases, and decorative items to avoid scraping the finish
Manage Humidity: Wood expands and contracts with moisture. Aim to keep your indoor humidity levels steady.
</t>
  </si>
  <si>
    <t>Conference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</si>
  <si>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69 months to restore shine and keep the wood hydrated.
Prevent Scratches: Use felt pads under lamps, vases, and decorative items to avoid scraping the finish
Manage Humidity: Wood expands and contracts with moisture. Aim to keep your indoor humidity levels steady.
</t>
  </si>
  <si>
    <t>TFL-OCT-201 LB</t>
  </si>
  <si>
    <t>Tables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</si>
  <si>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70 months to restore shine and keep the wood hydrated.
Prevent Scratches: Use felt pads under lamps, vases, and decorative items to avoid scraping the finish
Manage Humidity: Wood expands and contracts with moisture. Aim to keep your indoor humidity levels steady.
</t>
  </si>
  <si>
    <t>Size: L 600 x W 600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</si>
  <si>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71 months to restore shine and keep the wood hydrated.
Prevent Scratches: Use felt pads under lamps, vases, and decorative items to avoid scraping the finish
Manage Humidity: Wood expands and contracts with moisture. Aim to keep your indoor humidity levels steady.
</t>
  </si>
  <si>
    <t>Size: L 625 x W 625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</si>
  <si>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72 months to restore shine and keep the wood hydrated.
Prevent Scratches: Use felt pads under lamps, vases, and decorative items to avoid scraping the finish
Manage Humidity: Wood expands and contracts with moisture. Aim to keep your indoor humidity levels steady.
</t>
  </si>
  <si>
    <t>TFL-OCT-202 LB</t>
  </si>
  <si>
    <t>Size: L 2400 x W 1200 x H 750 mm</t>
  </si>
  <si>
    <t>Teak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</si>
  <si>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73 months to restore shine and keep the wood hydrated.
Prevent Scratches: Use felt pads under lamps, vases, and decorative items to avoid scraping the finish
Manage Humidity: Wood expands and contracts with moisture. Aim to keep your indoor humidity levels steady.
</t>
  </si>
  <si>
    <t>TFL-OCT-203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</si>
  <si>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74 months to restore shine and keep the wood hydrated.
Prevent Scratches: Use felt pads under lamps, vases, and decorative items to avoid scraping the finish
Manage Humidity: Wood expands and contracts with moisture. Aim to keep your indoor humidity levels steady.
</t>
  </si>
  <si>
    <t>TFL-OCT-204 LB</t>
  </si>
  <si>
    <t>Size: L 1200 x W 1200 x H 750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</si>
  <si>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</si>
  <si>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Sofa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</si>
  <si>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76 months to restore shine and keep the wood hydrated.
Prevent Scratches: Use felt pads under lamps, vases, and decorative items to avoid scraping the finish
Manage Humidity: Wood expands and contracts with moisture. Aim to keep your indoor humidity levels steady.
</t>
  </si>
  <si>
    <t>TFL-OSF-301 FR</t>
  </si>
  <si>
    <t>2- Seater Sofa</t>
  </si>
  <si>
    <t>Fully upholstered rexine sofa with cushioned seats/backrests, contrast stitching lines, padded armrests, and low sturdy legs.</t>
  </si>
  <si>
    <r>
      <rPr>
        <sz val="16"/>
        <rFont val="Times New Roman"/>
        <charset val="134"/>
      </rPr>
      <t>Standard
(2 Seater + 1 Seater + 1 Seater)</t>
    </r>
  </si>
  <si>
    <t>Black</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</si>
  <si>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77 months to restore shine and keep the wood hydrated.
Prevent Scratches: Use felt pads under lamps, vases, and decorative items to avoid scraping the finish
Manage Humidity: Wood expands and contracts with moisture. Aim to keep your indoor humidity levels steady.
</t>
  </si>
  <si>
    <t>1- Seater Sofa</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</si>
  <si>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78 months to restore shine and keep the wood hydrated.
Prevent Scratches: Use felt pads under lamps, vases, and decorative items to avoid scraping the finish
Manage Humidity: Wood expands and contracts with moisture. Aim to keep your indoor humidity levels steady.
</t>
  </si>
  <si>
    <t>TFL-OSF-302 FR</t>
  </si>
  <si>
    <t>Fully upholstered fabric sofa with cushioned seats/backrests, solid wood frame structure, and wide track armrests with wooden tops.</t>
  </si>
  <si>
    <r>
      <rPr>
        <sz val="16"/>
        <rFont val="Times New Roman"/>
        <charset val="134"/>
      </rPr>
      <t>Standard
(2 Seater + 2 Seater + 1 Seater)</t>
    </r>
  </si>
  <si>
    <t>Choose your perfect color from our fabric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</si>
  <si>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79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</si>
  <si>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80 months to restore shine and keep the wood hydrated.
Prevent Scratches: Use felt pads under lamps, vases, and decorative items to avoid scraping the finish
Manage Humidity: Wood expands and contracts with moisture. Aim to keep your indoor humidity levels steady.
</t>
  </si>
  <si>
    <t>TFL-OSF-303 FR</t>
  </si>
  <si>
    <t>Fully upholstered rexine sofa with cushioned seats, patterned backrest cushions, and solid wood side accents and legs.</t>
  </si>
  <si>
    <t>Choose your perfect color from our fabric/Rexin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</si>
  <si>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</si>
  <si>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82 months to restore shine and keep the wood hydrated.
Prevent Scratches: Use felt pads under lamps, vases, and decorative items to avoid scraping the finish
Manage Humidity: Wood expands and contracts with moisture. Aim to keep your indoor humidity levels steady.
</t>
  </si>
  <si>
    <t>TFL-OSF-304 FR</t>
  </si>
  <si>
    <t>Fully upholstered rexine sofa with cushioned seats/backrests, throw pillows, and sleek metal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</si>
  <si>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</si>
  <si>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84 months to restore shine and keep the wood hydrated.
Prevent Scratches: Use felt pads under lamps, vases, and decorative items to avoid scraping the finish
Manage Humidity: Wood expands and contracts with moisture. Aim to keep your indoor humidity levels steady.
</t>
  </si>
  <si>
    <t>TFL-OSF-305 FR</t>
  </si>
  <si>
    <t>Fully upholstered rexine sofa with cushioned seat, stitched-line backrest, track armrests, and low wooden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</si>
  <si>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</si>
  <si>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86 months to restore shine and keep the wood hydrated.
Prevent Scratches: Use felt pads under lamps, vases, and decorative items to avoid scraping the finish
Manage Humidity: Wood expands and contracts with moisture. Aim to keep your indoor humidity levels steady.
</t>
  </si>
  <si>
    <t>TFL-OSF-306 FR</t>
  </si>
  <si>
    <t>Fully upholstered armless rexine sofa with cushioned seats and backrests.</t>
  </si>
  <si>
    <t>Choose your perfect color from our Rexin collection.</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</si>
  <si>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</si>
  <si>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88 months to restore shine and keep the wood hydrated.
Prevent Scratches: Use felt pads under lamps, vases, and decorative items to avoid scraping the finish
Manage Humidity: Wood expands and contracts with moisture. Aim to keep your indoor humidity levels steady.
</t>
  </si>
  <si>
    <t>TFL-OSF-307 FR</t>
  </si>
  <si>
    <t>Fully upholstered leatherette with cushioned seat, backrest, and track armrests.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</si>
  <si>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89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</si>
  <si>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90 months to restore shine and keep the wood hydrated.
Prevent Scratches: Use felt pads under lamps, vases, and decorative items to avoid scraping the finish
Manage Humidity: Wood expands and contracts with moisture. Aim to keep your indoor humidity levels steady.
</t>
  </si>
  <si>
    <t>TFL-OSF-308 FR</t>
  </si>
  <si>
    <t>Heavily cushioned leatherette with a metal/wood internal mechanism frame.</t>
  </si>
  <si>
    <t>Standard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</si>
  <si>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</si>
  <si>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92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</si>
  <si>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93 months to restore shine and keep the wood hydrated.
Prevent Scratches: Use felt pads under lamps, vases, and decorative items to avoid scraping the finish
Manage Humidity: Wood expands and contracts with moisture. Aim to keep your indoor humidity levels steady.
</t>
  </si>
  <si>
    <t>TFL-SOF-309 FR</t>
  </si>
  <si>
    <t>Fully upholstered 2-seater fabric sofa with a middle console table and sleek SS legs.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</si>
  <si>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94 months to restore shine and keep the wood hydrated.
Prevent Scratches: Use felt pads under lamps, vases, and decorative items to avoid scraping the finish
Manage Humidity: Wood expands and contracts with moisture. Aim to keep your indoor humidity levels steady.
</t>
  </si>
  <si>
    <t>TFL-SOF-310 FR</t>
  </si>
  <si>
    <t>3- Seater Sofa</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</si>
  <si>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</si>
  <si>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</si>
  <si>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96 months to restore shine and keep the wood hydrated.
Prevent Scratches: Use felt pads under lamps, vases, and decorative items to avoid scraping the finish
Manage Humidity: Wood expands and contracts with moisture. Aim to keep your indoor humidity levels steady.
</t>
  </si>
  <si>
    <t>TFL-ECO-301 FF</t>
  </si>
  <si>
    <t xml:space="preserve">Office Chair </t>
  </si>
  <si>
    <t>Full mesh seat and backrest with adjustable headrest and lumbar support, adjustable plastic T-armrests, pneumatic gas lift, and chrome-plated SS star base on casters.</t>
  </si>
  <si>
    <t xml:space="preserve">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</si>
  <si>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97 months to restore shine and keep the wood hydrated.
Prevent Scratches: Use felt pads under lamps, vases, and decorative items to avoid scraping the finish
Manage Humidity: Wood expands and contracts with moisture. Aim to keep your indoor humidity levels steady.
</t>
  </si>
  <si>
    <t>TFL-ECO-302 FF</t>
  </si>
  <si>
    <t>Full mesh seat and backrest with an adjustable headrest, adjustable plastic T-armrests, pneumatic gas lift, and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</si>
  <si>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98 months to restore shine and keep the wood hydrated.
Prevent Scratches: Use felt pads under lamps, vases, and decorative items to avoid scraping the finish
Manage Humidity: Wood expands and contracts with moisture. Aim to keep your indoor humidity levels steady.
</t>
  </si>
  <si>
    <t>TFL-ECO-303 FF</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</si>
  <si>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99 months to restore shine and keep the wood hydrated.
Prevent Scratches: Use felt pads under lamps, vases, and decorative items to avoid scraping the finish
Manage Humidity: Wood expands and contracts with moisture. Aim to keep your indoor humidity levels steady.
</t>
  </si>
  <si>
    <t>TFL-ECO-304 FF</t>
  </si>
  <si>
    <t>Mesh backrest with an adjustable headrest, foam-cushioned fabric seat, adjustable plastic T-armrests,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</si>
  <si>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100 months to restore shine and keep the wood hydrated.
Prevent Scratches: Use felt pads under lamps, vases, and decorative items to avoid scraping the finish
Manage Humidity: Wood expands and contracts with moisture. Aim to keep your indoor humidity levels steady.
</t>
  </si>
  <si>
    <t>TFL-ECO-305 FR</t>
  </si>
  <si>
    <t>High-back leatherette seat/backrest with headrest cushion, adjustable T-armrests with chrome accents,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</si>
  <si>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101 months to restore shine and keep the wood hydrated.
Prevent Scratches: Use felt pads under lamps, vases, and decorative items to avoid scraping the finish
Manage Humidity: Wood expands and contracts with moisture. Aim to keep your indoor humidity levels steady.
</t>
  </si>
  <si>
    <t>TFL-ECO-306 FR</t>
  </si>
  <si>
    <t>Leatherette seat/backrest with an adjustable headrest, adjustable plastic T-armrests, pneumatic gas lift, and chrome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</si>
  <si>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102 months to restore shine and keep the wood hydrated.
Prevent Scratches: Use felt pads under lamps, vases, and decorative items to avoid scraping the finish
Manage Humidity: Wood expands and contracts with moisture. Aim to keep your indoor humidity levels steady.
</t>
  </si>
  <si>
    <t>TFL-ECO-307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</si>
  <si>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103 months to restore shine and keep the wood hydrated.
Prevent Scratches: Use felt pads under lamps, vases, and decorative items to avoid scraping the finish
Manage Humidity: Wood expands and contracts with moisture. Aim to keep your indoor humidity levels steady.
</t>
  </si>
  <si>
    <t>TFL-ECO-308 FR</t>
  </si>
  <si>
    <t>Breathable mesh backrest with an adjustable headrest, foam-cushioned fabric seat, adjustable plastic T-armrests,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</si>
  <si>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104 months to restore shine and keep the wood hydrated.
Prevent Scratches: Use felt pads under lamps, vases, and decorative items to avoid scraping the finish
Manage Humidity: Wood expands and contracts with moisture. Aim to keep your indoor humidity levels steady.
</t>
  </si>
  <si>
    <t>High-back plush cushioned leatherette seat and backrest, padded curved 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</si>
  <si>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105 months to restore shine and keep the wood hydrated.
Prevent Scratches: Use felt pads under lamps, vases, and decorative items to avoid scraping the finish
Manage Humidity: Wood expands and contracts with moisture. Aim to keep your indoor humidity levels steady.
</t>
  </si>
  <si>
    <t>TFL-ECO-309 FR</t>
  </si>
  <si>
    <t>High-back plush cushioned leatherette seat and backrest, adjustable T-armrests with chrome/SS accents,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</si>
  <si>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106 months to restore shine and keep the wood hydrated.
Prevent Scratches: Use felt pads under lamps, vases, and decorative items to avoid scraping the finish
Manage Humidity: Wood expands and contracts with moisture. Aim to keep your indoor humidity levels steady.
</t>
  </si>
  <si>
    <t>TFL-ECO-310 FF</t>
  </si>
  <si>
    <t>Breathable mesh backrest with an adjustable headrest, foam-cushioned fabric seat, adjustable plastic T-armrests, a pneumatic gas lift, and a nylon star base on casters.</t>
  </si>
  <si>
    <t>z</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</si>
  <si>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107 months to restore shine and keep the wood hydrated.
Prevent Scratches: Use felt pads under lamps, vases, and decorative items to avoid scraping the finish
Manage Humidity: Wood expands and contracts with moisture. Aim to keep your indoor humidity levels steady.
</t>
  </si>
  <si>
    <t>TFL-ECO-311 FR</t>
  </si>
  <si>
    <t>High-back ribbed cushioned leatherette seat and backrest, adjustable plastic T-armrests,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</si>
  <si>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108 months to restore shine and keep the wood hydrated.
Prevent Scratches: Use felt pads under lamps, vases, and decorative items to avoid scraping the finish
Manage Humidity: Wood expands and contracts with moisture. Aim to keep your indoor humidity levels steady.
</t>
  </si>
  <si>
    <t>TFL-ECO-312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</si>
  <si>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109 months to restore shine and keep the wood hydrated.
Prevent Scratches: Use felt pads under lamps, vases, and decorative items to avoid scraping the finish
Manage Humidity: Wood expands and contracts with moisture. Aim to keep your indoor humidity levels steady.
</t>
  </si>
  <si>
    <t>TFL-ECO-313 FF</t>
  </si>
  <si>
    <t>Foam-cushioned fabric seat and backrest, plastic armrests,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</si>
  <si>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110 months to restore shine and keep the wood hydrated.
Prevent Scratches: Use felt pads under lamps, vases, and decorative items to avoid scraping the finish
Manage Humidity: Wood expands and contracts with moisture. Aim to keep your indoor humidity levels steady.
</t>
  </si>
  <si>
    <t>TFL-ECO-314 FR</t>
  </si>
  <si>
    <t>High-back plush cushioned leatherette seat and backrest, integrated chrome/SS armrests with padded tops,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</si>
  <si>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111 months to restore shine and keep the wood hydrated.
Prevent Scratches: Use felt pads under lamps, vases, and decorative items to avoid scraping the finish
Manage Humidity: Wood expands and contracts with moisture. Aim to keep your indoor humidity levels steady.
</t>
  </si>
  <si>
    <t>TFL-ECO-315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</si>
  <si>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112 months to restore shine and keep the wood hydrated.
Prevent Scratches: Use felt pads under lamps, vases, and decorative items to avoid scraping the finish
Manage Humidity: Wood expands and contracts with moisture. Aim to keep your indoor humidity levels steady.
</t>
  </si>
  <si>
    <t>TFL-ECO-316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</si>
  <si>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113 months to restore shine and keep the wood hydrated.
Prevent Scratches: Use felt pads under lamps, vases, and decorative items to avoid scraping the finish
Manage Humidity: Wood expands and contracts with moisture. Aim to keep your indoor humidity levels steady.
</t>
  </si>
  <si>
    <t>TFL-ECO-317 WD</t>
  </si>
  <si>
    <t>Made from Kiln-dried Mahagoni wood high-back frame, seat, and armrests with fabric-cushioned panels, a pneumatic gas lift, and a solid wood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</si>
  <si>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114 months to restore shine and keep the wood hydrated.
Prevent Scratches: Use felt pads under lamps, vases, and decorative items to avoid scraping the finish
Manage Humidity: Wood expands and contracts with moisture. Aim to keep your indoor humidity levels steady.
</t>
  </si>
  <si>
    <t>TFL-ECO-318 WD</t>
  </si>
  <si>
    <t>Made from Kiln-dried Mahagoni wood high-back frame, seat, and armrests, with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</si>
  <si>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115 months to restore shine and keep the wood hydrated.
Prevent Scratches: Use felt pads under lamps, vases, and decorative items to avoid scraping the finish
Manage Humidity: Wood expands and contracts with moisture. Aim to keep your indoor humidity levels steady.
</t>
  </si>
  <si>
    <t>TFL-ECO-319 WD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</si>
  <si>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</si>
  <si>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</si>
  <si>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117 months to restore shine and keep the wood hydrated.
Prevent Scratches: Use felt pads under lamps, vases, and decorative items to avoid scraping the finish
Manage Humidity: Wood expands and contracts with moisture. Aim to keep your indoor humidity levels steady.
</t>
  </si>
  <si>
    <t>TFL-ECO-320 WD</t>
  </si>
  <si>
    <t>Officer Chair</t>
  </si>
  <si>
    <t>Breathable High-Density Black Mesh, Reinforced Polymer Frame, Heavy-duty Chrome/Aluminum Alloy Base, and Silent PU Casters</t>
  </si>
  <si>
    <t xml:space="preserv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</si>
  <si>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118 months to restore shine and keep the wood hydrated.
Prevent Scratches: Use felt pads under lamps, vases, and decorative items to avoid scraping the finish
Manage Humidity: Wood expands and contracts with moisture. Aim to keep your indoor humidity levels steady.
</t>
  </si>
  <si>
    <t>TFL-ECO-321 WD</t>
  </si>
  <si>
    <t>Premium Lime Green Breathable Mesh, Heavy-duty Nylon Frame, Reinforced Industrial Plastic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</si>
  <si>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119 months to restore shine and keep the wood hydrated.
Prevent Scratches: Use felt pads under lamps, vases, and decorative items to avoid scraping the finish
Manage Humidity: Wood expands and contracts with moisture. Aim to keep your indoor humidity levels steady.
</t>
  </si>
  <si>
    <t>TFL-ECO-322 WD</t>
  </si>
  <si>
    <t>Breathable Vibrant Orange Mesh Back, High-Density Padded Foam Seat with Fabric Upholstery, Reinforced Nylon Frame,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</si>
  <si>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120 months to restore shine and keep the wood hydrated.
Prevent Scratches: Use felt pads under lamps, vases, and decorative items to avoid scraping the finish
Manage Humidity: Wood expands and contracts with moisture. Aim to keep your indoor humidity levels steady.
</t>
  </si>
  <si>
    <t>TFL-ECO-323 WD</t>
  </si>
  <si>
    <t>High-Grade Breathable Black Mesh, High-Density Foam Padded Seat, Reinforced Nylon Frame, Heavy-duty Chrome-Plated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</si>
  <si>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121 months to restore shine and keep the wood hydrated.
Prevent Scratches: Use felt pads under lamps, vases, and decorative items to avoid scraping the finish
Manage Humidity: Wood expands and contracts with moisture. Aim to keep your indoor humidity levels steady.
</t>
  </si>
  <si>
    <t>TFL-ECO-324 WD</t>
  </si>
  <si>
    <t>High-Density Breathable Mesh, High-Strength Nylon Frame, Heavy-duty Polished Aluminum Alloy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</si>
  <si>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122 months to restore shine and keep the wood hydrated.
Prevent Scratches: Use felt pads under lamps, vases, and decorative items to avoid scraping the finish
Manage Humidity: Wood expands and contracts with moisture. Aim to keep your indoor humidity levels steady.
</t>
  </si>
  <si>
    <t>TFL-ECO-325 WD</t>
  </si>
  <si>
    <t>Breathable High-Density Silver Grey Mesh, High-Strength Nylon Frame, Heavy-duty Polished Aluminum Alloy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</si>
  <si>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123 months to restore shine and keep the wood hydrated.
Prevent Scratches: Use felt pads under lamps, vases, and decorative items to avoid scraping the finish
Manage Humidity: Wood expands and contracts with moisture. Aim to keep your indoor humidity levels steady.
</t>
  </si>
  <si>
    <t>TFL-OCO-301 FR</t>
  </si>
  <si>
    <t>Premium Lime Green Breathable Mesh, Reinforced Polymer Frame, Heavy-duty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</si>
  <si>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124 months to restore shine and keep the wood hydrated.
Prevent Scratches: Use felt pads under lamps, vases, and decorative items to avoid scraping the finish
Manage Humidity: Wood expands and contracts with moisture. Aim to keep your indoor humidity levels steady.
</t>
  </si>
  <si>
    <t>TFL-OCO-302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</si>
  <si>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125 months to restore shine and keep the wood hydrated.
Prevent Scratches: Use felt pads under lamps, vases, and decorative items to avoid scraping the finish
Manage Humidity: Wood expands and contracts with moisture. Aim to keep your indoor humidity levels steady.
</t>
  </si>
  <si>
    <t>TFL-OCO-303 FR</t>
  </si>
  <si>
    <t>Premium Orange Breathable Mesh, Reinforced Polymer Frame, Heavy-duty Matte Black Nylon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</si>
  <si>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126 months to restore shine and keep the wood hydrated.
Prevent Scratches: Use felt pads under lamps, vases, and decorative items to avoid scraping the finish
Manage Humidity: Wood expands and contracts with moisture. Aim to keep your indoor humidity levels steady.
</t>
  </si>
  <si>
    <t>TFL-OCO-304 FR</t>
  </si>
  <si>
    <t>High-Grade Breathable Black Mesh, Reinforced Polymer Frame, Heavy-duty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</si>
  <si>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127 months to restore shine and keep the wood hydrated.
Prevent Scratches: Use felt pads under lamps, vases, and decorative items to avoid scraping the finish
Manage Humidity: Wood expands and contracts with moisture. Aim to keep your indoor humidity levels steady.
</t>
  </si>
  <si>
    <t>TFL-OCO-305 FR</t>
  </si>
  <si>
    <t>Breathable Black Mesh, Reinforced Polymer Frame, Chrome-Finished Steel Base, and Smooth-rolling PU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</si>
  <si>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128 months to restore shine and keep the wood hydrated.
Prevent Scratches: Use felt pads under lamps, vases, and decorative items to avoid scraping the finish
Manage Humidity: Wood expands and contracts with moisture. Aim to keep your indoor humidity levels steady.
</t>
  </si>
  <si>
    <t>TFL-OCO-306 FR</t>
  </si>
  <si>
    <t>Breathable black mesh backrest with plastic lumbar support, foam-cushioned fabric seat, plastic armrests, a chrome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</si>
  <si>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129 months to restore shine and keep the wood hydrated.
Prevent Scratches: Use felt pads under lamps, vases, and decorative items to avoid scraping the finish
Manage Humidity: Wood expands and contracts with moisture. Aim to keep your indoor humidity levels steady.
</t>
  </si>
  <si>
    <t>TFL-OCO-307 FR</t>
  </si>
  <si>
    <t>Breathable green mesh backrest, foam-cushioned black fabric seat, plastic armrests, a pneumatic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</si>
  <si>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130 months to restore shine and keep the wood hydrated.
Prevent Scratches: Use felt pads under lamps, vases, and decorative items to avoid scraping the finish
Manage Humidity: Wood expands and contracts with moisture. Aim to keep your indoor humidity levels steady.
</t>
  </si>
  <si>
    <t>TFL-OCO-308 FR</t>
  </si>
  <si>
    <t>Foam-cushioned orange fabric seat and backrest, adjustable plastic T-armrests,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</si>
  <si>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131 months to restore shine and keep the wood hydrated.
Prevent Scratches: Use felt pads under lamps, vases, and decorative items to avoid scraping the finish
Manage Humidity: Wood expands and contracts with moisture. Aim to keep your indoor humidity levels steady.
</t>
  </si>
  <si>
    <t>TFL-OCO-309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</si>
  <si>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132 months to restore shine and keep the wood hydrated.
Prevent Scratches: Use felt pads under lamps, vases, and decorative items to avoid scraping the finish
Manage Humidity: Wood expands and contracts with moisture. Aim to keep your indoor humidity levels steady.
</t>
  </si>
  <si>
    <t>TFL-OCO-310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</si>
  <si>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133 months to restore shine and keep the wood hydrated.
Prevent Scratches: Use felt pads under lamps, vases, and decorative items to avoid scraping the finish
Manage Humidity: Wood expands and contracts with moisture. Aim to keep your indoor humidity levels steady.
</t>
  </si>
  <si>
    <t>TFL-OCO-311 FR</t>
  </si>
  <si>
    <t>Breathable green mesh backrest, foam-cushioned fabric seat, plastic armrests, a chrome gas lift, and a chrome-plated SS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</si>
  <si>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134 months to restore shine and keep the wood hydrated.
Prevent Scratches: Use felt pads under lamps, vases, and decorative items to avoid scraping the finish
Manage Humidity: Wood expands and contracts with moisture. Aim to keep your indoor humidity levels steady.
</t>
  </si>
  <si>
    <t>TFL-OCO-312 FR</t>
  </si>
  <si>
    <t>Breathable black mesh backrest, foam-cushioned fabric seat, plastic armrests with SS/chrome support loops, a pneumatic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</si>
  <si>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135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</si>
  <si>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Visitor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</si>
  <si>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136 months to restore shine and keep the wood hydrated.
Prevent Scratches: Use felt pads under lamps, vases, and decorative items to avoid scraping the finish
Manage Humidity: Wood expands and contracts with moisture. Aim to keep your indoor humidity levels steady.
</t>
  </si>
  <si>
    <t>TFL-VCO-301 FR</t>
  </si>
  <si>
    <t>High-back plush cushioned fabric/leatherette seat and backrest, integrated metal armrests, and a stainless steel (SS) cantilever sled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</si>
  <si>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137 months to restore shine and keep the wood hydrated.
Prevent Scratches: Use felt pads under lamps, vases, and decorative items to avoid scraping the finish
Manage Humidity: Wood expands and contracts with moisture. Aim to keep your indoor humidity levels steady.
</t>
  </si>
  <si>
    <t>TFL-VCO-302 FR</t>
  </si>
  <si>
    <t>Breathable black mesh backrest, foam-cushioned fabric seat, plastic armrests, and a stainless steel (SS) cantilever sled base.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</si>
  <si>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138 months to restore shine and keep the wood hydrated.
Prevent Scratches: Use felt pads under lamps, vases, and decorative items to avoid scraping the finish
Manage Humidity: Wood expands and contracts with moisture. Aim to keep your indoor humidity levels steady.
</t>
  </si>
  <si>
    <t>TFL-VCO-303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</si>
  <si>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139 months to restore shine and keep the wood hydrated.
Prevent Scratches: Use felt pads under lamps, vases, and decorative items to avoid scraping the finish
Manage Humidity: Wood expands and contracts with moisture. Aim to keep your indoor humidity levels steady.
</t>
  </si>
  <si>
    <t>TFL-VCO-304 FR</t>
  </si>
  <si>
    <t>Foam-cushioned seat and backrest upholstered in black rexine, with a black powder-coated MS (mild steel) round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</si>
  <si>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140 months to restore shine and keep the wood hydrated.
Prevent Scratches: Use felt pads under lamps, vases, and decorative items to avoid scraping the finish
Manage Humidity: Wood expands and contracts with moisture. Aim to keep your indoor humidity levels steady.
</t>
  </si>
  <si>
    <t>TFL-VCO-305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</si>
  <si>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141 months to restore shine and keep the wood hydrated.
Prevent Scratches: Use felt pads under lamps, vases, and decorative items to avoid scraping the finish
Manage Humidity: Wood expands and contracts with moisture. Aim to keep your indoor humidity levels steady.
</t>
  </si>
  <si>
    <t>TFL-VCO-306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</si>
  <si>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142 months to restore shine and keep the wood hydrated.
Prevent Scratches: Use felt pads under lamps, vases, and decorative items to avoid scraping the finish
Manage Humidity: Wood expands and contracts with moisture. Aim to keep your indoor humidity levels steady.
</t>
  </si>
  <si>
    <t>TFL-VCO-307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</si>
  <si>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143 months to restore shine and keep the wood hydrated.
Prevent Scratches: Use felt pads under lamps, vases, and decorative items to avoid scraping the finish
Manage Humidity: Wood expands and contracts with moisture. Aim to keep your indoor humidity levels steady.
</t>
  </si>
  <si>
    <t>TFL-VCO-308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</si>
  <si>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144 months to restore shine and keep the wood hydrated.
Prevent Scratches: Use felt pads under lamps, vases, and decorative items to avoid scraping the finish
Manage Humidity: Wood expands and contracts with moisture. Aim to keep your indoor humidity levels steady.
</t>
  </si>
  <si>
    <t>TFL-VCO-309 FR</t>
  </si>
  <si>
    <t>Foam-cushioned seat and backrest upholstered in black rexine, with a black powder-coated MS (mild steel)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</si>
  <si>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145 months to restore shine and keep the wood hydrated.
Prevent Scratches: Use felt pads under lamps, vases, and decorative items to avoid scraping the finish
Manage Humidity: Wood expands and contracts with moisture. Aim to keep your indoor humidity levels steady.
</t>
  </si>
  <si>
    <t>TFL-VCO-310</t>
  </si>
  <si>
    <t>Foam-cushioned seat and backrest upholstered in black rexine, with a black powder-coated MS (mild steel)  tube frame.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</si>
  <si>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146 months to restore shine and keep the wood hydrated.
Prevent Scratches: Use felt pads under lamps, vases, and decorative items to avoid scraping the finish
Manage Humidity: Wood expands and contracts with moisture. Aim to keep your indoor humidity levels steady.
</t>
  </si>
  <si>
    <t>TFL-VCO-311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</si>
  <si>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147 months to restore shine and keep the wood hydrated.
Prevent Scratches: Use felt pads under lamps, vases, and decorative items to avoid scraping the finish
Manage Humidity: Wood expands and contracts with moisture. Aim to keep your indoor humidity levels steady.
</t>
  </si>
  <si>
    <t>TFL-VCO-312 WD</t>
  </si>
  <si>
    <t>Slatted solid wood seat and backrest with a black powder-coated MS (mild steel) round tube frame.</t>
  </si>
  <si>
    <t>Antique and Black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</si>
  <si>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148 months to restore shine and keep the wood hydrated.
Prevent Scratches: Use felt pads under lamps, vases, and decorative items to avoid scraping the finish
Manage Humidity: Wood expands and contracts with moisture. Aim to keep your indoor humidity levels steady.
</t>
  </si>
  <si>
    <t>TFL-VCO-313 FR</t>
  </si>
  <si>
    <t>Foam-cushioned black rexine seat and backrest with plastic armrests,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</si>
  <si>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149 months to restore shine and keep the wood hydrated.
Prevent Scratches: Use felt pads under lamps, vases, and decorative items to avoid scraping the finish
Manage Humidity: Wood expands and contracts with moisture. Aim to keep your indoor humidity levels steady.
</t>
  </si>
  <si>
    <t>TFL-VCO-314 FR</t>
  </si>
  <si>
    <t>Plywood shell back and seat with a black fabric cushion, plastic armrests,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</si>
  <si>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150 months to restore shine and keep the wood hydrated.
Prevent Scratches: Use felt pads under lamps, vases, and decorative items to avoid scraping the finish
Manage Humidity: Wood expands and contracts with moisture. Aim to keep your indoor humidity levels steady.
</t>
  </si>
  <si>
    <t>TFL-VCO-315 FR</t>
  </si>
  <si>
    <t>Foam-cushioned black rexine seat and backrest with a chrome gas lift, MS back support,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</si>
  <si>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151 months to restore shine and keep the wood hydrated.
Prevent Scratches: Use felt pads under lamps, vases, and decorative items to avoid scraping the finish
Manage Humidity: Wood expands and contracts with moisture. Aim to keep your indoor humidity levels steady.
</t>
  </si>
  <si>
    <t>TFL-VCO-316 FR</t>
  </si>
  <si>
    <t>Foam-cushioned black rexine round seat with a chrome gas lift and a nylon star base on casters.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</si>
  <si>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152 months to restore shine and keep the wood hydrated.
Prevent Scratches: Use felt pads under lamps, vases, and decorative items to avoid scraping the finish
Manage Humidity: Wood expands and contracts with moisture. Aim to keep your indoor humidity levels steady.
</t>
  </si>
  <si>
    <t>TFL-VCO-317 FR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</si>
  <si>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</si>
  <si>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Training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</si>
  <si>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154 months to restore shine and keep the wood hydrated.
Prevent Scratches: Use felt pads under lamps, vases, and decorative items to avoid scraping the finish
Manage Humidity: Wood expands and contracts with moisture. Aim to keep your indoor humidity levels steady.
</t>
  </si>
  <si>
    <t>TFL-CRO-301 FR</t>
  </si>
  <si>
    <t>Training Chair</t>
  </si>
  <si>
    <t>PA Plastic backrest + High density foam seatpad.</t>
  </si>
  <si>
    <t xml:space="preserve">Training Chair/Class Room Chair </t>
  </si>
  <si>
    <t xml:space="preserve">White+Black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</si>
  <si>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155 months to restore shine and keep the wood hydrated.
Prevent Scratches: Use felt pads under lamps, vases, and decorative items to avoid scraping the finish
Manage Humidity: Wood expands and contracts with moisture. Aim to keep your indoor humidity levels steady.
</t>
  </si>
  <si>
    <t>TFL-CRO-302</t>
  </si>
  <si>
    <t>Sky Blue+White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</si>
  <si>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156 months to restore shine and keep the wood hydrated.
Prevent Scratches: Use felt pads under lamps, vases, and decorative items to avoid scraping the finish
Manage Humidity: Wood expands and contracts with moisture. Aim to keep your indoor humidity levels steady.
</t>
  </si>
  <si>
    <t>TFL-CRO-303 FR</t>
  </si>
  <si>
    <t>Foam-cushioned seat and backrest upholstered in black rexine/artificial leather, an MDF tablet arm, and a black powder-coated MS (mild steel) rod frame with an under-seat wire book rack.</t>
  </si>
  <si>
    <t>s</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</si>
  <si>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157 months to restore shine and keep the wood hydrated.
Prevent Scratches: Use felt pads under lamps, vases, and decorative items to avoid scraping the finish
Manage Humidity: Wood expands and contracts with moisture. Aim to keep your indoor humidity levels steady.
</t>
  </si>
  <si>
    <t>TFL-CRO-304 WD</t>
  </si>
  <si>
    <t>Slatted solid wood seat and backrest, an MDF/laminate tablet arm, and a black powder-coated mild steel (MS) solid rod / bar frame with an under-seat wire mesh rack.</t>
  </si>
  <si>
    <t xml:space="preserve">Antique and Black Color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</si>
  <si>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158 months to restore shine and keep the wood hydrated.
Prevent Scratches: Use felt pads under lamps, vases, and decorative items to avoid scraping the finish
Manage Humidity: Wood expands and contracts with moisture. Aim to keep your indoor humidity levels steady.
</t>
  </si>
  <si>
    <t>TFL-CRO-305 LB</t>
  </si>
  <si>
    <t>High-pressure laminate (HPL) / plywood seat, back, and desk with a chrome-plated tubular steel frame and an integrated wire book rack.</t>
  </si>
  <si>
    <t>Antique and SS Color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</si>
  <si>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159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</si>
  <si>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Reception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</si>
  <si>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160 months to restore shine and keep the wood hydrated.
Prevent Scratches: Use felt pads under lamps, vases, and decorative items to avoid scraping the finish
Manage Humidity: Wood expands and contracts with moisture. Aim to keep your indoor humidity levels steady.
</t>
  </si>
  <si>
    <t>TFL-RPC-301 FR</t>
  </si>
  <si>
    <t>Reception Chair</t>
  </si>
  <si>
    <t>Mild Steel</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</si>
  <si>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</si>
  <si>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Auditorium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</si>
  <si>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162 months to restore shine and keep the wood hydrated.
Prevent Scratches: Use felt pads under lamps, vases, and decorative items to avoid scraping the finish
Manage Humidity: Wood expands and contracts with moisture. Aim to keep your indoor humidity levels steady.
</t>
  </si>
  <si>
    <t>TFL-ADC-301 FR</t>
  </si>
  <si>
    <t>Auditorium Chair</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</si>
  <si>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163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</si>
  <si>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Podium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</si>
  <si>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164 months to restore shine and keep the wood hydrated.
Prevent Scratches: Use felt pads under lamps, vases, and decorative items to avoid scraping the finish
Manage Humidity: Wood expands and contracts with moisture. Aim to keep your indoor humidity levels steady.
</t>
  </si>
  <si>
    <t>TFL-POD-201 LB</t>
  </si>
  <si>
    <t>Podium</t>
  </si>
  <si>
    <t>Size: L 750 x W 550 x H 1250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</si>
  <si>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165 months to restore shine and keep the wood hydrated.
Prevent Scratches: Use felt pads under lamps, vases, and decorative items to avoid scraping the finish
Manage Humidity: Wood expands and contracts with moisture. Aim to keep your indoor humidity levels steady.
</t>
  </si>
  <si>
    <t>TFL-POD-203 LB</t>
  </si>
  <si>
    <t>Size: L 850 x W 600 x H 1250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</si>
  <si>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</si>
  <si>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Workstation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</si>
  <si>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167 months to restore shine and keep the wood hydrated.
Prevent Scratches: Use felt pads under lamps, vases, and decorative items to avoid scraping the finish
Manage Humidity: Wood expands and contracts with moisture. Aim to keep your indoor humidity levels steady.
</t>
  </si>
  <si>
    <t>TFL-WSO-201 LB</t>
  </si>
  <si>
    <t>Size: L 2400 x W 1200 x H 1050 mm</t>
  </si>
  <si>
    <t>Antique + Printed</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</si>
  <si>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168 months to restore shine and keep the wood hydrated.
Prevent Scratches: Use felt pads under lamps, vases, and decorative items to avoid scraping the finish
Manage Humidity: Wood expands and contracts with moisture. Aim to keep your indoor humidity levels steady.
</t>
  </si>
  <si>
    <t>TFL-WSO-202 LB</t>
  </si>
  <si>
    <t>Size: L 2000 x W 1200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</si>
  <si>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169 months to restore shine and keep the wood hydrated.
Prevent Scratches: Use felt pads under lamps, vases, and decorative items to avoid scraping the finish
Manage Humidity: Wood expands and contracts with moisture. Aim to keep your indoor humidity levels steady.
</t>
  </si>
  <si>
    <t>TFL-WSO-203 LB</t>
  </si>
  <si>
    <t>Fabric with aluminum frame &amp; MFC Board</t>
  </si>
  <si>
    <t>Size: L 3150 x W 1200 x H 1200 mm</t>
  </si>
  <si>
    <t>Able to Choose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</si>
  <si>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170 months to restore shine and keep the wood hydrated.
Prevent Scratches: Use felt pads under lamps, vases, and decorative items to avoid scraping the finish
Manage Humidity: Wood expands and contracts with moisture. Aim to keep your indoor humidity levels steady.
</t>
  </si>
  <si>
    <t>TFL-WSO-204 LB</t>
  </si>
  <si>
    <t>Size: L 2400 x W 600 x H 1200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</si>
  <si>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</si>
  <si>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 Reception Table</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</si>
  <si>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172 months to restore shine and keep the wood hydrated.
Prevent Scratches: Use felt pads under lamps, vases, and decorative items to avoid scraping the finish
Manage Humidity: Wood expands and contracts with moisture. Aim to keep your indoor humidity levels steady.
</t>
  </si>
  <si>
    <t>TFL-RTO-201 LB</t>
  </si>
  <si>
    <t>Reception Table</t>
  </si>
  <si>
    <t>Reception Desks</t>
  </si>
  <si>
    <t>Size: L 1600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</si>
  <si>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173 months to restore shine and keep the wood hydrated.
Prevent Scratches: Use felt pads under lamps, vases, and decorative items to avoid scraping the finish
Manage Humidity: Wood expands and contracts with moisture. Aim to keep your indoor humidity levels steady.
</t>
  </si>
  <si>
    <t>TFL-RTO-202 LB</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</si>
  <si>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174 months to restore shine and keep the wood hydrated.
Prevent Scratches: Use felt pads under lamps, vases, and decorative items to avoid scraping the finish
Manage Humidity: Wood expands and contracts with moisture. Aim to keep your indoor humidity levels steady.
</t>
  </si>
  <si>
    <t>TFL-RTO-203 LB</t>
  </si>
  <si>
    <t>Size: L 1800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</si>
  <si>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175 months to restore shine and keep the wood hydrated.
Prevent Scratches: Use felt pads under lamps, vases, and decorative items to avoid scraping the finish
Manage Humidity: Wood expands and contracts with moisture. Aim to keep your indoor humidity levels steady.
</t>
  </si>
  <si>
    <t>TFL-RTO-204 LB</t>
  </si>
  <si>
    <t>Size: L 1500 x W 600 x H 1050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</si>
  <si>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176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</si>
  <si>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Waiting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</si>
  <si>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177 months to restore shine and keep the wood hydrated.
Prevent Scratches: Use felt pads under lamps, vases, and decorative items to avoid scraping the finish
Manage Humidity: Wood expands and contracts with moisture. Aim to keep your indoor humidity levels steady.
</t>
  </si>
  <si>
    <t>TFL-GCO-301 WD</t>
  </si>
  <si>
    <t>Waiting chair</t>
  </si>
  <si>
    <t>Made from Kiln-dried Mahagoni wood &amp; Heavy-duty Black Powder-Coated Steel Frame, and Solid Metal T-shaped Base Bars.</t>
  </si>
  <si>
    <t xml:space="preserve">Fixed Chair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</si>
  <si>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178 months to restore shine and keep the wood hydrated.
Prevent Scratches: Use felt pads under lamps, vases, and decorative items to avoid scraping the finish
Manage Humidity: Wood expands and contracts with moisture. Aim to keep your indoor humidity levels steady.
</t>
  </si>
  <si>
    <t>TFL-GCO-302 MT</t>
  </si>
  <si>
    <t xml:space="preserve">SS Structure with Powder Coated MS Shell </t>
  </si>
  <si>
    <t>Gray,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</si>
  <si>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179 months to restore shine and keep the wood hydrated.
Prevent Scratches: Use felt pads under lamps, vases, and decorative items to avoid scraping the finish
Manage Humidity: Wood expands and contracts with moisture. Aim to keep your indoor humidity levels steady.
</t>
  </si>
  <si>
    <t>TFL-GCO-303 MT</t>
  </si>
  <si>
    <t>Sky Blue,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</si>
  <si>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180 months to restore shine and keep the wood hydrated.
Prevent Scratches: Use felt pads under lamps, vases, and decorative items to avoid scraping the finish
Manage Humidity: Wood expands and contracts with moisture. Aim to keep your indoor humidity levels steady.
</t>
  </si>
  <si>
    <t>TFL-GCO-304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</si>
  <si>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181 months to restore shine and keep the wood hydrated.
Prevent Scratches: Use felt pads under lamps, vases, and decorative items to avoid scraping the finish
Manage Humidity: Wood expands and contracts with moisture. Aim to keep your indoor humidity levels steady.
</t>
  </si>
  <si>
    <t>Combined File Cabinet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</si>
  <si>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182 months to restore shine and keep the wood hydrated.
Prevent Scratches: Use felt pads under lamps, vases, and decorative items to avoid scraping the finish
Manage Humidity: Wood expands and contracts with moisture. Aim to keep your indoor humidity levels steady.
</t>
  </si>
  <si>
    <t>TFL-FCO-501 MT</t>
  </si>
  <si>
    <t>Office File Cabinet</t>
  </si>
  <si>
    <t xml:space="preserve">Mild Steel </t>
  </si>
  <si>
    <t xml:space="preserve">File Cabinet </t>
  </si>
  <si>
    <t>Size: L 480 x W 610 x H 750 mm</t>
  </si>
  <si>
    <t xml:space="preserve">Gray/Black Color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</si>
  <si>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183 months to restore shine and keep the wood hydrated.
Prevent Scratches: Use felt pads under lamps, vases, and decorative items to avoid scraping the finish
Manage Humidity: Wood expands and contracts with moisture. Aim to keep your indoor humidity levels steady.
</t>
  </si>
  <si>
    <t>TFL-FCO-502 MT</t>
  </si>
  <si>
    <t>Size: L 480 x W 610 x H 1070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</si>
  <si>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184 months to restore shine and keep the wood hydrated.
Prevent Scratches: Use felt pads under lamps, vases, and decorative items to avoid scraping the finish
Manage Humidity: Wood expands and contracts with moisture. Aim to keep your indoor humidity levels steady.
</t>
  </si>
  <si>
    <t>TFL-FCO-503 MT</t>
  </si>
  <si>
    <t>Size: L 480 x W 610 x H 1400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</si>
  <si>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185 months to restore shine and keep the wood hydrated.
Prevent Scratches: Use felt pads under lamps, vases, and decorative items to avoid scraping the finish
Manage Humidity: Wood expands and contracts with moisture. Aim to keep your indoor humidity levels steady.
</t>
  </si>
  <si>
    <t>TFL-FCO-504 MT</t>
  </si>
  <si>
    <t>Size: L 1050 x W610 x H 1070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</si>
  <si>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186 months to restore shine and keep the wood hydrated.
Prevent Scratches: Use felt pads under lamps, vases, and decorative items to avoid scraping the finish
Manage Humidity: Wood expands and contracts with moisture. Aim to keep your indoor humidity levels steady.
</t>
  </si>
  <si>
    <t>TFL-FCO-505 MT</t>
  </si>
  <si>
    <t>Size: L 1050 x W610 x H 1400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</si>
  <si>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187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</si>
  <si>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Office Almirah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</si>
  <si>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188 months to restore shine and keep the wood hydrated.
Prevent Scratches: Use felt pads under lamps, vases, and decorative items to avoid scraping the finish
Manage Humidity: Wood expands and contracts with moisture. Aim to keep your indoor humidity levels steady.
</t>
  </si>
  <si>
    <t>TFL-SAO-501 MT</t>
  </si>
  <si>
    <t>Office Almirah</t>
  </si>
  <si>
    <t xml:space="preserve">Steel Almirah </t>
  </si>
  <si>
    <t>L 990 x W 510 x H 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</si>
  <si>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189 months to restore shine and keep the wood hydrated.
Prevent Scratches: Use felt pads under lamps, vases, and decorative items to avoid scraping the finish
Manage Humidity: Wood expands and contracts with moisture. Aim to keep your indoor humidity levels steady.
</t>
  </si>
  <si>
    <t>TFL-SAO-502 MT</t>
  </si>
  <si>
    <t>Size: L 990 x W 510 x H 1930 mm</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</si>
  <si>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190 months to restore shine and keep the wood hydrated.
Prevent Scratches: Use felt pads under lamps, vases, and decorative items to avoid scraping the finish
Manage Humidity: Wood expands and contracts with moisture. Aim to keep your indoor humidity levels steady.
</t>
  </si>
  <si>
    <t>TFL-SAO-503 MT</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</si>
  <si>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191 months to restore shine and keep the wood hydrated.
Prevent Scratches: Use felt pads under lamps, vases, and decorative items to avoid scraping the finish
Manage Humidity: Wood expands and contracts with moisture. Aim to keep your indoor humidity levels steady.
</t>
  </si>
  <si>
    <t xml:space="preserve"> </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</si>
  <si>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192 months to restore shine and keep the wood hydrated.
Prevent Scratches: Use felt pads under lamps, vases, and decorative items to avoid scraping the finish
Manage Humidity: Wood expands and contracts with moisture. Aim to keep your indoor humidity levels steady.
</t>
  </si>
  <si>
    <t>TFL-WSO-501 MT</t>
  </si>
  <si>
    <t>Hydrolic Work Table</t>
  </si>
  <si>
    <r>
      <rPr>
        <b/>
        <sz val="16"/>
        <rFont val="Times New Roman"/>
        <charset val="134"/>
      </rPr>
      <t>Table Top Material :</t>
    </r>
    <r>
      <rPr>
        <sz val="16"/>
        <rFont val="Times New Roman"/>
        <charset val="134"/>
      </rPr>
      <t xml:space="preserve"> 25 mm water-resistant laminated board for a durable and sleek finish that withstands the rigors of daily use. </t>
    </r>
    <r>
      <rPr>
        <b/>
        <sz val="16"/>
        <rFont val="Times New Roman"/>
        <charset val="134"/>
      </rPr>
      <t>Table Frame Material:</t>
    </r>
    <r>
      <rPr>
        <sz val="16"/>
        <rFont val="Times New Roman"/>
        <charset val="134"/>
      </rPr>
      <t xml:space="preserve">
Low carbon steel, ensuring stability and longevity for your workspace. </t>
    </r>
    <r>
      <rPr>
        <b/>
        <sz val="16"/>
        <rFont val="Times New Roman"/>
        <charset val="134"/>
      </rPr>
      <t>Motor Options:</t>
    </r>
    <r>
      <rPr>
        <sz val="16"/>
        <rFont val="Times New Roman"/>
        <charset val="134"/>
      </rPr>
      <t xml:space="preserve">
Choose between a single or double motor option to cater to your specific needs.                         </t>
    </r>
    <r>
      <rPr>
        <b/>
        <sz val="16"/>
        <rFont val="Times New Roman"/>
        <charset val="134"/>
      </rPr>
      <t>Load Capacity:</t>
    </r>
    <r>
      <rPr>
        <sz val="16"/>
        <rFont val="Times New Roman"/>
        <charset val="134"/>
      </rPr>
      <t xml:space="preserve">
Double Motor: Impressive load capacity of up to 120 kg (264.6 lbs), providing robust support for your work essentials.</t>
    </r>
  </si>
  <si>
    <t>Size: L 1200 x W 1260 x H 1205 mm</t>
  </si>
  <si>
    <t>Sky Blue+ Metallic Grey</t>
  </si>
  <si>
    <t xml:space="preserve">Proper wooden furniture care involves regular dusting with a microfiber cloth, avoiding excess moisture, and protecting pieces from direct sunlight and extreme temperature fluctuations.
Dry Dusting: Dust regularly using a soft, lint-free, or microfiber cloth. Feather dusters can scratch the surface.
Follow the Grain: Always wipe, clean, and polish in the direction of the wood grain to prevent streaks and protect the finish.
Avoid Harsh Chemicals: Skip cleaners containing alcohol, ammonia, or silicone, which can strip or damage the wood's protective seal.
Control Heat &amp; Sunlight: Keep furniture at least 1 foot away from radiators, heat vents, and direct sunlight, which can cause the wood to warp, fade, or crack.
Rehydrate the Wood: Apply a high-quality beeswax or nourishing wood oil (like linseed or tung oil) every 6 to 193 months to restore shine and keep the wood hydrated.
Prevent Scratches: Use felt pads under lamps, vases, and decorative items to avoid scraping the finish
Manage Humidity: Wood expands and contracts with moisture. Aim to keep your indoor humidity levels steady.
</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</si>
</sst>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0_);_(* \(#,##0\);_(* &quot;-&quot;_);_(@_)"/>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33">
    <font>
      <sz val="10"/>
      <color rgb="FF000000"/>
      <name val="Times New Roman"/>
      <charset val="204"/>
    </font>
    <font>
      <b/>
      <sz val="30"/>
      <name val="Times New Roman"/>
      <charset val="134"/>
    </font>
    <font>
      <b/>
      <sz val="20"/>
      <name val="Times New Roman"/>
      <charset val="134"/>
    </font>
    <font>
      <b/>
      <sz val="16"/>
      <color theme="1"/>
      <name val="Calibri"/>
      <charset val="134"/>
      <scheme val="minor"/>
    </font>
    <font>
      <sz val="14"/>
      <color rgb="FF000000"/>
      <name val="Times New Roman"/>
      <charset val="134"/>
    </font>
    <font>
      <sz val="16"/>
      <name val="Times New Roman"/>
      <charset val="134"/>
    </font>
    <font>
      <sz val="16"/>
      <color rgb="FF000000"/>
      <name val="Times New Roman"/>
      <charset val="134"/>
    </font>
    <font>
      <sz val="14"/>
      <color theme="1"/>
      <name val="Times New Roman"/>
      <charset val="134"/>
    </font>
    <font>
      <sz val="12"/>
      <color theme="1"/>
      <name val="Times New Roman"/>
      <charset val="134"/>
    </font>
    <font>
      <sz val="16"/>
      <color theme="1"/>
      <name val="Times New Roman"/>
      <charset val="134"/>
    </font>
    <font>
      <b/>
      <sz val="20"/>
      <color rgb="FF000000"/>
      <name val="Times New Roman"/>
      <charset val="134"/>
    </font>
    <font>
      <sz val="14"/>
      <name val="Times New Roman"/>
      <charset val="134"/>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6"/>
      <name val="Times New Roman"/>
      <charset val="134"/>
    </font>
  </fonts>
  <fills count="37">
    <fill>
      <patternFill patternType="none"/>
    </fill>
    <fill>
      <patternFill patternType="gray125"/>
    </fill>
    <fill>
      <patternFill patternType="solid">
        <fgColor rgb="FFFF0000"/>
        <bgColor indexed="64"/>
      </patternFill>
    </fill>
    <fill>
      <patternFill patternType="solid">
        <fgColor rgb="FFFFFF00"/>
        <bgColor indexed="64"/>
      </patternFill>
    </fill>
    <fill>
      <patternFill patternType="solid">
        <fgColor theme="0"/>
        <bgColor indexed="64"/>
      </patternFill>
    </fill>
    <fill>
      <patternFill patternType="solid">
        <fgColor theme="3" tint="0.599993896298105"/>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7">
    <border>
      <left/>
      <right/>
      <top/>
      <bottom/>
      <diagonal/>
    </border>
    <border>
      <left style="thin">
        <color auto="1"/>
      </left>
      <right style="thin">
        <color auto="1"/>
      </right>
      <top style="thin">
        <color auto="1"/>
      </top>
      <bottom style="thin">
        <color auto="1"/>
      </bottom>
      <diagonal/>
    </border>
    <border>
      <left/>
      <right/>
      <top/>
      <bottom style="thin">
        <color auto="1"/>
      </bottom>
      <diagonal/>
    </border>
    <border>
      <left style="thin">
        <color auto="1"/>
      </left>
      <right style="thin">
        <color auto="1"/>
      </right>
      <top style="thin">
        <color auto="1"/>
      </top>
      <bottom/>
      <diagonal/>
    </border>
    <border>
      <left/>
      <right style="thin">
        <color auto="1"/>
      </right>
      <top style="thin">
        <color auto="1"/>
      </top>
      <bottom/>
      <diagonal/>
    </border>
    <border>
      <left style="thin">
        <color auto="1"/>
      </left>
      <right style="thin">
        <color auto="1"/>
      </right>
      <top/>
      <bottom style="thin">
        <color auto="1"/>
      </bottom>
      <diagonal/>
    </border>
    <border>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auto="1"/>
      </right>
      <top/>
      <bottom/>
      <diagonal/>
    </border>
    <border>
      <left style="thin">
        <color rgb="FF000000"/>
      </left>
      <right style="thin">
        <color rgb="FF000000"/>
      </right>
      <top style="thin">
        <color rgb="FF000000"/>
      </top>
      <bottom/>
      <diagonal/>
    </border>
    <border>
      <left style="thin">
        <color rgb="FF000000"/>
      </left>
      <right style="thin">
        <color auto="1"/>
      </right>
      <top style="thin">
        <color rgb="FF000000"/>
      </top>
      <bottom style="thin">
        <color auto="1"/>
      </bottom>
      <diagonal/>
    </border>
    <border>
      <left style="thin">
        <color rgb="FF000000"/>
      </left>
      <right style="thin">
        <color rgb="FF000000"/>
      </right>
      <top/>
      <bottom style="thin">
        <color rgb="FF000000"/>
      </bottom>
      <diagonal/>
    </border>
    <border>
      <left style="thin">
        <color rgb="FF000000"/>
      </left>
      <right style="thin">
        <color auto="1"/>
      </right>
      <top style="thin">
        <color rgb="FF000000"/>
      </top>
      <bottom/>
      <diagonal/>
    </border>
    <border>
      <left style="thin">
        <color rgb="FF000000"/>
      </left>
      <right style="thin">
        <color auto="1"/>
      </right>
      <top/>
      <bottom style="thin">
        <color rgb="FF000000"/>
      </bottom>
      <diagonal/>
    </border>
    <border>
      <left style="thin">
        <color rgb="FF000000"/>
      </left>
      <right style="thin">
        <color rgb="FF000000"/>
      </right>
      <top/>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12" fillId="0" borderId="0" applyFont="0" applyFill="0" applyBorder="0" applyAlignment="0" applyProtection="0">
      <alignment vertical="center"/>
    </xf>
    <xf numFmtId="44" fontId="12" fillId="0" borderId="0" applyFont="0" applyFill="0" applyBorder="0" applyAlignment="0" applyProtection="0">
      <alignment vertical="center"/>
    </xf>
    <xf numFmtId="9" fontId="12" fillId="0" borderId="0" applyFont="0" applyFill="0" applyBorder="0" applyAlignment="0" applyProtection="0">
      <alignment vertical="center"/>
    </xf>
    <xf numFmtId="177" fontId="12" fillId="0" borderId="0" applyFont="0" applyFill="0" applyBorder="0" applyAlignment="0" applyProtection="0">
      <alignment vertical="center"/>
    </xf>
    <xf numFmtId="42" fontId="12" fillId="0" borderId="0" applyFon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2" fillId="6" borderId="19" applyNumberFormat="0" applyFont="0" applyAlignment="0" applyProtection="0">
      <alignment vertical="center"/>
    </xf>
    <xf numFmtId="0" fontId="15" fillId="0" borderId="0" applyNumberFormat="0" applyFill="0" applyBorder="0" applyAlignment="0" applyProtection="0">
      <alignment vertical="center"/>
    </xf>
    <xf numFmtId="0" fontId="16" fillId="0" borderId="0" applyNumberFormat="0" applyFill="0" applyBorder="0" applyAlignment="0" applyProtection="0">
      <alignment vertical="center"/>
    </xf>
    <xf numFmtId="0" fontId="17" fillId="0" borderId="0" applyNumberFormat="0" applyFill="0" applyBorder="0" applyAlignment="0" applyProtection="0">
      <alignment vertical="center"/>
    </xf>
    <xf numFmtId="0" fontId="18" fillId="0" borderId="20" applyNumberFormat="0" applyFill="0" applyAlignment="0" applyProtection="0">
      <alignment vertical="center"/>
    </xf>
    <xf numFmtId="0" fontId="19" fillId="0" borderId="20" applyNumberFormat="0" applyFill="0" applyAlignment="0" applyProtection="0">
      <alignment vertical="center"/>
    </xf>
    <xf numFmtId="0" fontId="20" fillId="0" borderId="21" applyNumberFormat="0" applyFill="0" applyAlignment="0" applyProtection="0">
      <alignment vertical="center"/>
    </xf>
    <xf numFmtId="0" fontId="20" fillId="0" borderId="0" applyNumberFormat="0" applyFill="0" applyBorder="0" applyAlignment="0" applyProtection="0">
      <alignment vertical="center"/>
    </xf>
    <xf numFmtId="0" fontId="21" fillId="7" borderId="22" applyNumberFormat="0" applyAlignment="0" applyProtection="0">
      <alignment vertical="center"/>
    </xf>
    <xf numFmtId="0" fontId="22" fillId="8" borderId="23" applyNumberFormat="0" applyAlignment="0" applyProtection="0">
      <alignment vertical="center"/>
    </xf>
    <xf numFmtId="0" fontId="23" fillId="8" borderId="22" applyNumberFormat="0" applyAlignment="0" applyProtection="0">
      <alignment vertical="center"/>
    </xf>
    <xf numFmtId="0" fontId="24" fillId="9" borderId="24" applyNumberFormat="0" applyAlignment="0" applyProtection="0">
      <alignment vertical="center"/>
    </xf>
    <xf numFmtId="0" fontId="25" fillId="0" borderId="25" applyNumberFormat="0" applyFill="0" applyAlignment="0" applyProtection="0">
      <alignment vertical="center"/>
    </xf>
    <xf numFmtId="0" fontId="26" fillId="0" borderId="26" applyNumberFormat="0" applyFill="0" applyAlignment="0" applyProtection="0">
      <alignment vertical="center"/>
    </xf>
    <xf numFmtId="0" fontId="27" fillId="10" borderId="0" applyNumberFormat="0" applyBorder="0" applyAlignment="0" applyProtection="0">
      <alignment vertical="center"/>
    </xf>
    <xf numFmtId="0" fontId="28" fillId="11" borderId="0" applyNumberFormat="0" applyBorder="0" applyAlignment="0" applyProtection="0">
      <alignment vertical="center"/>
    </xf>
    <xf numFmtId="0" fontId="29" fillId="12" borderId="0" applyNumberFormat="0" applyBorder="0" applyAlignment="0" applyProtection="0">
      <alignment vertical="center"/>
    </xf>
    <xf numFmtId="0" fontId="30" fillId="13" borderId="0" applyNumberFormat="0" applyBorder="0" applyAlignment="0" applyProtection="0">
      <alignment vertical="center"/>
    </xf>
    <xf numFmtId="0" fontId="31" fillId="14" borderId="0" applyNumberFormat="0" applyBorder="0" applyAlignment="0" applyProtection="0">
      <alignment vertical="center"/>
    </xf>
    <xf numFmtId="0" fontId="31" fillId="15" borderId="0" applyNumberFormat="0" applyBorder="0" applyAlignment="0" applyProtection="0">
      <alignment vertical="center"/>
    </xf>
    <xf numFmtId="0" fontId="30" fillId="16" borderId="0" applyNumberFormat="0" applyBorder="0" applyAlignment="0" applyProtection="0">
      <alignment vertical="center"/>
    </xf>
    <xf numFmtId="0" fontId="30" fillId="17" borderId="0" applyNumberFormat="0" applyBorder="0" applyAlignment="0" applyProtection="0">
      <alignment vertical="center"/>
    </xf>
    <xf numFmtId="0" fontId="31" fillId="18" borderId="0" applyNumberFormat="0" applyBorder="0" applyAlignment="0" applyProtection="0">
      <alignment vertical="center"/>
    </xf>
    <xf numFmtId="0" fontId="31" fillId="19" borderId="0" applyNumberFormat="0" applyBorder="0" applyAlignment="0" applyProtection="0">
      <alignment vertical="center"/>
    </xf>
    <xf numFmtId="0" fontId="30" fillId="20" borderId="0" applyNumberFormat="0" applyBorder="0" applyAlignment="0" applyProtection="0">
      <alignment vertical="center"/>
    </xf>
    <xf numFmtId="0" fontId="30" fillId="21" borderId="0" applyNumberFormat="0" applyBorder="0" applyAlignment="0" applyProtection="0">
      <alignment vertical="center"/>
    </xf>
    <xf numFmtId="0" fontId="31" fillId="22" borderId="0" applyNumberFormat="0" applyBorder="0" applyAlignment="0" applyProtection="0">
      <alignment vertical="center"/>
    </xf>
    <xf numFmtId="0" fontId="31" fillId="23" borderId="0" applyNumberFormat="0" applyBorder="0" applyAlignment="0" applyProtection="0">
      <alignment vertical="center"/>
    </xf>
    <xf numFmtId="0" fontId="30" fillId="24" borderId="0" applyNumberFormat="0" applyBorder="0" applyAlignment="0" applyProtection="0">
      <alignment vertical="center"/>
    </xf>
    <xf numFmtId="0" fontId="30" fillId="25" borderId="0" applyNumberFormat="0" applyBorder="0" applyAlignment="0" applyProtection="0">
      <alignment vertical="center"/>
    </xf>
    <xf numFmtId="0" fontId="31" fillId="26" borderId="0" applyNumberFormat="0" applyBorder="0" applyAlignment="0" applyProtection="0">
      <alignment vertical="center"/>
    </xf>
    <xf numFmtId="0" fontId="31" fillId="27" borderId="0" applyNumberFormat="0" applyBorder="0" applyAlignment="0" applyProtection="0">
      <alignment vertical="center"/>
    </xf>
    <xf numFmtId="0" fontId="30" fillId="28" borderId="0" applyNumberFormat="0" applyBorder="0" applyAlignment="0" applyProtection="0">
      <alignment vertical="center"/>
    </xf>
    <xf numFmtId="0" fontId="30" fillId="29" borderId="0" applyNumberFormat="0" applyBorder="0" applyAlignment="0" applyProtection="0">
      <alignment vertical="center"/>
    </xf>
    <xf numFmtId="0" fontId="31" fillId="30" borderId="0" applyNumberFormat="0" applyBorder="0" applyAlignment="0" applyProtection="0">
      <alignment vertical="center"/>
    </xf>
    <xf numFmtId="0" fontId="31" fillId="31" borderId="0" applyNumberFormat="0" applyBorder="0" applyAlignment="0" applyProtection="0">
      <alignment vertical="center"/>
    </xf>
    <xf numFmtId="0" fontId="30" fillId="32" borderId="0" applyNumberFormat="0" applyBorder="0" applyAlignment="0" applyProtection="0">
      <alignment vertical="center"/>
    </xf>
    <xf numFmtId="0" fontId="30" fillId="33" borderId="0" applyNumberFormat="0" applyBorder="0" applyAlignment="0" applyProtection="0">
      <alignment vertical="center"/>
    </xf>
    <xf numFmtId="0" fontId="31" fillId="34" borderId="0" applyNumberFormat="0" applyBorder="0" applyAlignment="0" applyProtection="0">
      <alignment vertical="center"/>
    </xf>
    <xf numFmtId="0" fontId="31" fillId="35" borderId="0" applyNumberFormat="0" applyBorder="0" applyAlignment="0" applyProtection="0">
      <alignment vertical="center"/>
    </xf>
    <xf numFmtId="0" fontId="30" fillId="36" borderId="0" applyNumberFormat="0" applyBorder="0" applyAlignment="0" applyProtection="0">
      <alignment vertical="center"/>
    </xf>
  </cellStyleXfs>
  <cellXfs count="100">
    <xf numFmtId="0" fontId="0" fillId="0" borderId="0" xfId="0"/>
    <xf numFmtId="0" fontId="0" fillId="2" borderId="0" xfId="0" applyFill="1" applyAlignment="1">
      <alignment horizontal="left" vertical="top"/>
    </xf>
    <xf numFmtId="0" fontId="0" fillId="0" borderId="0" xfId="0" applyAlignment="1">
      <alignment horizontal="left" vertical="top"/>
    </xf>
    <xf numFmtId="0" fontId="0" fillId="0" borderId="1" xfId="0" applyBorder="1" applyAlignment="1">
      <alignment horizontal="left" vertical="top"/>
    </xf>
    <xf numFmtId="0" fontId="0" fillId="0" borderId="1" xfId="0" applyBorder="1" applyAlignment="1">
      <alignment vertical="top"/>
    </xf>
    <xf numFmtId="0" fontId="0" fillId="0" borderId="0" xfId="0" applyAlignment="1">
      <alignment vertical="top"/>
    </xf>
    <xf numFmtId="0" fontId="1" fillId="0" borderId="0" xfId="0" applyFont="1" applyAlignment="1">
      <alignment horizontal="center" vertical="center" wrapText="1"/>
    </xf>
    <xf numFmtId="0" fontId="1" fillId="0" borderId="0" xfId="0" applyFont="1" applyBorder="1" applyAlignment="1">
      <alignment horizontal="center" vertical="center" wrapText="1"/>
    </xf>
    <xf numFmtId="0" fontId="0" fillId="0" borderId="0" xfId="0" applyBorder="1" applyAlignment="1">
      <alignment vertical="top"/>
    </xf>
    <xf numFmtId="0" fontId="2" fillId="0" borderId="2" xfId="0" applyFont="1" applyBorder="1" applyAlignment="1">
      <alignment horizontal="center" vertical="center" wrapText="1"/>
    </xf>
    <xf numFmtId="0" fontId="2" fillId="0" borderId="0" xfId="0" applyFont="1" applyBorder="1" applyAlignment="1">
      <alignment horizontal="center" vertical="center" wrapText="1"/>
    </xf>
    <xf numFmtId="0" fontId="3" fillId="3" borderId="3" xfId="0" applyFont="1" applyFill="1" applyBorder="1" applyAlignment="1">
      <alignment horizontal="center" vertical="center"/>
    </xf>
    <xf numFmtId="0" fontId="3" fillId="3" borderId="1" xfId="0" applyFont="1" applyFill="1" applyBorder="1" applyAlignment="1">
      <alignment horizontal="center" vertical="center" wrapText="1"/>
    </xf>
    <xf numFmtId="0" fontId="3" fillId="3" borderId="4" xfId="0" applyFont="1" applyFill="1" applyBorder="1" applyAlignment="1">
      <alignment horizontal="center" vertical="center" wrapText="1"/>
    </xf>
    <xf numFmtId="0" fontId="3" fillId="3" borderId="5" xfId="0" applyFont="1" applyFill="1" applyBorder="1" applyAlignment="1">
      <alignment horizontal="center" vertical="center"/>
    </xf>
    <xf numFmtId="0" fontId="3" fillId="3" borderId="6" xfId="0" applyFont="1" applyFill="1" applyBorder="1" applyAlignment="1">
      <alignment horizontal="center" vertical="center" wrapText="1"/>
    </xf>
    <xf numFmtId="0" fontId="3" fillId="3" borderId="5" xfId="0" applyFont="1" applyFill="1" applyBorder="1" applyAlignment="1">
      <alignment horizontal="center" vertical="center" wrapText="1"/>
    </xf>
    <xf numFmtId="1" fontId="4" fillId="0" borderId="7" xfId="0" applyNumberFormat="1" applyFont="1" applyBorder="1" applyAlignment="1">
      <alignment horizontal="center" vertical="center" shrinkToFit="1"/>
    </xf>
    <xf numFmtId="0" fontId="5" fillId="0" borderId="7" xfId="0" applyFont="1" applyBorder="1" applyAlignment="1">
      <alignment horizontal="center" vertical="center" wrapText="1"/>
    </xf>
    <xf numFmtId="0" fontId="0" fillId="0" borderId="7" xfId="0" applyBorder="1" applyAlignment="1">
      <alignment horizontal="left" vertical="top" wrapText="1"/>
    </xf>
    <xf numFmtId="0" fontId="5" fillId="0" borderId="8" xfId="0" applyFont="1" applyBorder="1" applyAlignment="1">
      <alignment horizontal="center" vertical="center" wrapText="1"/>
    </xf>
    <xf numFmtId="0" fontId="6" fillId="0" borderId="1" xfId="0" applyFont="1" applyBorder="1" applyAlignment="1">
      <alignment horizontal="center" vertical="center"/>
    </xf>
    <xf numFmtId="0" fontId="5" fillId="0" borderId="9" xfId="0" applyFont="1" applyBorder="1" applyAlignment="1">
      <alignment horizontal="center" vertical="center" wrapText="1"/>
    </xf>
    <xf numFmtId="0" fontId="7" fillId="0" borderId="1" xfId="0" applyFont="1" applyBorder="1" applyAlignment="1">
      <alignment horizontal="center" vertical="center" wrapText="1"/>
    </xf>
    <xf numFmtId="0" fontId="8" fillId="0" borderId="1" xfId="0" applyFont="1" applyBorder="1" applyAlignment="1">
      <alignment horizontal="center" vertical="center"/>
    </xf>
    <xf numFmtId="9" fontId="9" fillId="4" borderId="1" xfId="0" applyNumberFormat="1" applyFont="1" applyFill="1" applyBorder="1" applyAlignment="1">
      <alignment horizontal="center" vertical="center" wrapText="1"/>
    </xf>
    <xf numFmtId="9" fontId="9" fillId="4" borderId="5" xfId="0" applyNumberFormat="1" applyFont="1" applyFill="1" applyBorder="1" applyAlignment="1">
      <alignment horizontal="center" vertical="center" wrapText="1"/>
    </xf>
    <xf numFmtId="0" fontId="0" fillId="0" borderId="5" xfId="0" applyBorder="1" applyAlignment="1">
      <alignment vertical="top" wrapText="1"/>
    </xf>
    <xf numFmtId="0" fontId="0" fillId="0" borderId="1" xfId="0" applyBorder="1" applyAlignment="1">
      <alignment vertical="top" wrapText="1"/>
    </xf>
    <xf numFmtId="1" fontId="10" fillId="5" borderId="10" xfId="0" applyNumberFormat="1" applyFont="1" applyFill="1" applyBorder="1" applyAlignment="1">
      <alignment horizontal="center" vertical="center" shrinkToFit="1"/>
    </xf>
    <xf numFmtId="1" fontId="10" fillId="5" borderId="0" xfId="0" applyNumberFormat="1" applyFont="1" applyFill="1" applyAlignment="1">
      <alignment horizontal="center" vertical="center" shrinkToFit="1"/>
    </xf>
    <xf numFmtId="1" fontId="10" fillId="5" borderId="11" xfId="0" applyNumberFormat="1" applyFont="1" applyFill="1" applyBorder="1" applyAlignment="1">
      <alignment horizontal="center" vertical="center" shrinkToFit="1"/>
    </xf>
    <xf numFmtId="1" fontId="6" fillId="0" borderId="7" xfId="0" applyNumberFormat="1" applyFont="1" applyBorder="1" applyAlignment="1">
      <alignment horizontal="center" vertical="center" shrinkToFit="1"/>
    </xf>
    <xf numFmtId="1" fontId="10" fillId="5" borderId="10" xfId="0" applyNumberFormat="1" applyFont="1" applyFill="1" applyBorder="1" applyAlignment="1">
      <alignment vertical="center" shrinkToFit="1"/>
    </xf>
    <xf numFmtId="1" fontId="10" fillId="5" borderId="0" xfId="0" applyNumberFormat="1" applyFont="1" applyFill="1" applyAlignment="1">
      <alignment vertical="center" shrinkToFit="1"/>
    </xf>
    <xf numFmtId="1" fontId="10" fillId="5" borderId="11" xfId="0" applyNumberFormat="1" applyFont="1" applyFill="1" applyBorder="1" applyAlignment="1">
      <alignment vertical="center" shrinkToFit="1"/>
    </xf>
    <xf numFmtId="0" fontId="5" fillId="0" borderId="12" xfId="0" applyFont="1" applyBorder="1" applyAlignment="1">
      <alignment horizontal="center" vertical="center" wrapText="1"/>
    </xf>
    <xf numFmtId="0" fontId="5" fillId="0" borderId="13" xfId="0" applyFont="1" applyBorder="1" applyAlignment="1">
      <alignment horizontal="center" vertical="center" wrapText="1"/>
    </xf>
    <xf numFmtId="1" fontId="4" fillId="2" borderId="12" xfId="0" applyNumberFormat="1" applyFont="1" applyFill="1" applyBorder="1" applyAlignment="1">
      <alignment horizontal="center" vertical="center" shrinkToFit="1"/>
    </xf>
    <xf numFmtId="0" fontId="5" fillId="2" borderId="12"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0" fillId="2" borderId="12" xfId="0" applyFill="1" applyBorder="1" applyAlignment="1">
      <alignment horizontal="center" vertical="top" wrapText="1"/>
    </xf>
    <xf numFmtId="1" fontId="6" fillId="2" borderId="12" xfId="0" applyNumberFormat="1" applyFont="1" applyFill="1" applyBorder="1" applyAlignment="1">
      <alignment horizontal="center" vertical="center" shrinkToFit="1"/>
    </xf>
    <xf numFmtId="0" fontId="6" fillId="2" borderId="12" xfId="0" applyFont="1" applyFill="1" applyBorder="1" applyAlignment="1">
      <alignment horizontal="center" vertical="center" wrapText="1"/>
    </xf>
    <xf numFmtId="41" fontId="8" fillId="2" borderId="1" xfId="0" applyNumberFormat="1" applyFont="1" applyFill="1" applyBorder="1" applyAlignment="1">
      <alignment horizontal="center" vertical="center"/>
    </xf>
    <xf numFmtId="0" fontId="8" fillId="2" borderId="1" xfId="0" applyFont="1" applyFill="1" applyBorder="1" applyAlignment="1">
      <alignment horizontal="center" vertical="center"/>
    </xf>
    <xf numFmtId="9" fontId="9" fillId="2" borderId="1" xfId="0" applyNumberFormat="1" applyFont="1" applyFill="1" applyBorder="1" applyAlignment="1">
      <alignment horizontal="center" vertical="center" wrapText="1"/>
    </xf>
    <xf numFmtId="0" fontId="0" fillId="2" borderId="0" xfId="0" applyFill="1" applyAlignment="1">
      <alignment vertical="top"/>
    </xf>
    <xf numFmtId="1" fontId="4" fillId="2" borderId="14" xfId="0" applyNumberFormat="1" applyFont="1" applyFill="1" applyBorder="1" applyAlignment="1">
      <alignment horizontal="center" vertical="center" shrinkToFit="1"/>
    </xf>
    <xf numFmtId="0" fontId="5" fillId="2" borderId="14" xfId="0" applyFont="1" applyFill="1" applyBorder="1" applyAlignment="1">
      <alignment horizontal="center" vertical="center" wrapText="1"/>
    </xf>
    <xf numFmtId="0" fontId="0" fillId="2" borderId="14" xfId="0" applyFill="1" applyBorder="1" applyAlignment="1">
      <alignment horizontal="center" vertical="top" wrapText="1"/>
    </xf>
    <xf numFmtId="0" fontId="6" fillId="2" borderId="14" xfId="0" applyFont="1" applyFill="1" applyBorder="1" applyAlignment="1">
      <alignment horizontal="center" vertical="center" wrapText="1"/>
    </xf>
    <xf numFmtId="1" fontId="6" fillId="2" borderId="14" xfId="0" applyNumberFormat="1" applyFont="1" applyFill="1" applyBorder="1" applyAlignment="1">
      <alignment horizontal="center" vertical="center" shrinkToFit="1"/>
    </xf>
    <xf numFmtId="1" fontId="4" fillId="0" borderId="12" xfId="0" applyNumberFormat="1" applyFont="1" applyBorder="1" applyAlignment="1">
      <alignment horizontal="center" vertical="center" shrinkToFit="1"/>
    </xf>
    <xf numFmtId="0" fontId="0" fillId="0" borderId="12" xfId="0" applyBorder="1" applyAlignment="1">
      <alignment horizontal="center" vertical="top" wrapText="1"/>
    </xf>
    <xf numFmtId="1" fontId="6" fillId="0" borderId="12" xfId="0" applyNumberFormat="1" applyFont="1" applyBorder="1" applyAlignment="1">
      <alignment horizontal="center" vertical="center" shrinkToFit="1"/>
    </xf>
    <xf numFmtId="0" fontId="6" fillId="0" borderId="12" xfId="0" applyFont="1" applyBorder="1" applyAlignment="1">
      <alignment horizontal="center" vertical="center" wrapText="1"/>
    </xf>
    <xf numFmtId="0" fontId="5" fillId="0" borderId="15" xfId="0" applyFont="1" applyBorder="1" applyAlignment="1">
      <alignment horizontal="center" vertical="center" wrapText="1"/>
    </xf>
    <xf numFmtId="41" fontId="8" fillId="0" borderId="1" xfId="0" applyNumberFormat="1" applyFont="1" applyBorder="1" applyAlignment="1">
      <alignment horizontal="center" vertical="center"/>
    </xf>
    <xf numFmtId="1" fontId="4" fillId="0" borderId="14" xfId="0" applyNumberFormat="1" applyFont="1" applyBorder="1" applyAlignment="1">
      <alignment horizontal="center" vertical="center" shrinkToFit="1"/>
    </xf>
    <xf numFmtId="0" fontId="5" fillId="0" borderId="14" xfId="0" applyFont="1" applyBorder="1" applyAlignment="1">
      <alignment horizontal="center" vertical="center" wrapText="1"/>
    </xf>
    <xf numFmtId="0" fontId="0" fillId="0" borderId="14" xfId="0" applyBorder="1" applyAlignment="1">
      <alignment horizontal="center" vertical="top" wrapText="1"/>
    </xf>
    <xf numFmtId="0" fontId="6" fillId="0" borderId="14" xfId="0" applyFont="1" applyBorder="1" applyAlignment="1">
      <alignment horizontal="center" vertical="center" wrapText="1"/>
    </xf>
    <xf numFmtId="1" fontId="6" fillId="0" borderId="14" xfId="0" applyNumberFormat="1" applyFont="1" applyBorder="1" applyAlignment="1">
      <alignment horizontal="center" vertical="center" shrinkToFit="1"/>
    </xf>
    <xf numFmtId="0" fontId="5" fillId="0" borderId="16" xfId="0" applyFont="1" applyBorder="1" applyAlignment="1">
      <alignment horizontal="center" vertical="center" wrapText="1"/>
    </xf>
    <xf numFmtId="0" fontId="0" fillId="2" borderId="12" xfId="0" applyFill="1" applyBorder="1" applyAlignment="1">
      <alignment horizontal="left" vertical="top" wrapText="1"/>
    </xf>
    <xf numFmtId="0" fontId="5" fillId="2" borderId="15" xfId="0" applyFont="1" applyFill="1" applyBorder="1" applyAlignment="1">
      <alignment horizontal="center" vertical="center" wrapText="1"/>
    </xf>
    <xf numFmtId="0" fontId="0" fillId="2" borderId="14" xfId="0" applyFill="1" applyBorder="1" applyAlignment="1">
      <alignment horizontal="left" vertical="top" wrapText="1"/>
    </xf>
    <xf numFmtId="0" fontId="5" fillId="2" borderId="16" xfId="0" applyFont="1" applyFill="1" applyBorder="1" applyAlignment="1">
      <alignment horizontal="center" vertical="center" wrapText="1"/>
    </xf>
    <xf numFmtId="0" fontId="0" fillId="0" borderId="12" xfId="0" applyBorder="1" applyAlignment="1">
      <alignment horizontal="left" vertical="top" wrapText="1"/>
    </xf>
    <xf numFmtId="0" fontId="0" fillId="0" borderId="14" xfId="0" applyBorder="1" applyAlignment="1">
      <alignment horizontal="left" vertical="top" wrapText="1"/>
    </xf>
    <xf numFmtId="0" fontId="5" fillId="0" borderId="17" xfId="0" applyFont="1" applyBorder="1" applyAlignment="1">
      <alignment horizontal="center" vertical="center" wrapText="1"/>
    </xf>
    <xf numFmtId="0" fontId="5" fillId="0" borderId="1" xfId="0" applyFont="1" applyBorder="1" applyAlignment="1">
      <alignment horizontal="center" vertical="center" wrapText="1"/>
    </xf>
    <xf numFmtId="0" fontId="5" fillId="2" borderId="1" xfId="0" applyFont="1" applyFill="1" applyBorder="1" applyAlignment="1">
      <alignment horizontal="center" vertical="center" wrapText="1"/>
    </xf>
    <xf numFmtId="0" fontId="6" fillId="2" borderId="7" xfId="0" applyFont="1" applyFill="1" applyBorder="1" applyAlignment="1">
      <alignment horizontal="left" vertical="top" wrapText="1"/>
    </xf>
    <xf numFmtId="1" fontId="4" fillId="2" borderId="7" xfId="0" applyNumberFormat="1" applyFont="1" applyFill="1" applyBorder="1" applyAlignment="1">
      <alignment horizontal="center" vertical="center" shrinkToFit="1"/>
    </xf>
    <xf numFmtId="0" fontId="5" fillId="2" borderId="8" xfId="0" applyFont="1" applyFill="1" applyBorder="1" applyAlignment="1">
      <alignment horizontal="center" vertical="center" wrapText="1"/>
    </xf>
    <xf numFmtId="1" fontId="6" fillId="2" borderId="1" xfId="0" applyNumberFormat="1" applyFont="1" applyFill="1" applyBorder="1" applyAlignment="1">
      <alignment horizontal="center" vertical="center" shrinkToFit="1"/>
    </xf>
    <xf numFmtId="0" fontId="5" fillId="2" borderId="9"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0" fillId="2" borderId="7" xfId="0" applyFill="1" applyBorder="1" applyAlignment="1">
      <alignment horizontal="left" vertical="top" wrapText="1"/>
    </xf>
    <xf numFmtId="1" fontId="6" fillId="2" borderId="17" xfId="0" applyNumberFormat="1" applyFont="1" applyFill="1" applyBorder="1" applyAlignment="1">
      <alignment horizontal="center" vertical="center" shrinkToFit="1"/>
    </xf>
    <xf numFmtId="1" fontId="6" fillId="2" borderId="7" xfId="0" applyNumberFormat="1" applyFont="1" applyFill="1" applyBorder="1" applyAlignment="1">
      <alignment horizontal="center" vertical="center" shrinkToFit="1"/>
    </xf>
    <xf numFmtId="41" fontId="9" fillId="2" borderId="1" xfId="0" applyNumberFormat="1" applyFont="1" applyFill="1" applyBorder="1" applyAlignment="1">
      <alignment horizontal="center" vertical="center"/>
    </xf>
    <xf numFmtId="0" fontId="9" fillId="2" borderId="1" xfId="0" applyFont="1" applyFill="1" applyBorder="1" applyAlignment="1">
      <alignment horizontal="center" vertical="center"/>
    </xf>
    <xf numFmtId="41" fontId="9" fillId="0" borderId="1" xfId="0" applyNumberFormat="1" applyFont="1" applyBorder="1" applyAlignment="1">
      <alignment horizontal="center" vertical="center"/>
    </xf>
    <xf numFmtId="0" fontId="9" fillId="0" borderId="1" xfId="0" applyFont="1" applyBorder="1" applyAlignment="1">
      <alignment horizontal="center" vertical="center"/>
    </xf>
    <xf numFmtId="0" fontId="11" fillId="0" borderId="7" xfId="0" applyFont="1" applyBorder="1" applyAlignment="1">
      <alignment horizontal="center" vertical="center" wrapText="1"/>
    </xf>
    <xf numFmtId="0" fontId="11" fillId="2" borderId="7" xfId="0" applyFont="1" applyFill="1" applyBorder="1" applyAlignment="1">
      <alignment horizontal="center" vertical="center" wrapText="1"/>
    </xf>
    <xf numFmtId="1" fontId="6" fillId="2" borderId="7" xfId="0" applyNumberFormat="1" applyFont="1" applyFill="1" applyBorder="1" applyAlignment="1">
      <alignment horizontal="center" vertical="center" wrapText="1" shrinkToFit="1"/>
    </xf>
    <xf numFmtId="1" fontId="6" fillId="0" borderId="7" xfId="0" applyNumberFormat="1" applyFont="1" applyBorder="1" applyAlignment="1">
      <alignment horizontal="center" vertical="center" wrapText="1" shrinkToFit="1"/>
    </xf>
    <xf numFmtId="1" fontId="6" fillId="2" borderId="8" xfId="0" applyNumberFormat="1" applyFont="1" applyFill="1" applyBorder="1" applyAlignment="1">
      <alignment horizontal="center" vertical="center" shrinkToFit="1"/>
    </xf>
    <xf numFmtId="9" fontId="9" fillId="2" borderId="3" xfId="0" applyNumberFormat="1" applyFont="1" applyFill="1" applyBorder="1" applyAlignment="1">
      <alignment horizontal="center" vertical="center" wrapText="1"/>
    </xf>
    <xf numFmtId="9" fontId="9" fillId="4" borderId="18" xfId="0" applyNumberFormat="1" applyFont="1" applyFill="1" applyBorder="1" applyAlignment="1">
      <alignment horizontal="center" vertical="center" wrapText="1"/>
    </xf>
    <xf numFmtId="0" fontId="0" fillId="0" borderId="3" xfId="0" applyBorder="1" applyAlignment="1">
      <alignment vertical="top" wrapText="1"/>
    </xf>
    <xf numFmtId="0" fontId="0" fillId="0" borderId="18" xfId="0" applyBorder="1" applyAlignment="1">
      <alignment vertical="top" wrapText="1"/>
    </xf>
    <xf numFmtId="0" fontId="0" fillId="0" borderId="0" xfId="0" applyBorder="1" applyAlignment="1">
      <alignment horizontal="left" vertical="top"/>
    </xf>
    <xf numFmtId="0" fontId="0" fillId="0" borderId="0" xfId="0" applyBorder="1" applyAlignment="1">
      <alignment horizontal="left" vertical="top"/>
    </xf>
    <xf numFmtId="0" fontId="0" fillId="0" borderId="5" xfId="0" applyBorder="1" applyAlignment="1">
      <alignment horizontal="left" vertical="top"/>
    </xf>
    <xf numFmtId="0" fontId="0" fillId="0" borderId="5" xfId="0" applyBorder="1" applyAlignment="1">
      <alignment vertical="top"/>
    </xf>
    <xf numFmtId="1" fontId="4" fillId="0" borderId="7" xfId="0" applyNumberFormat="1" applyFont="1" applyBorder="1" applyAlignment="1" quotePrefix="1">
      <alignment horizontal="center" vertical="center" shrinkToFi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9" Type="http://schemas.openxmlformats.org/officeDocument/2006/relationships/image" Target="../media/image99.jpeg"/><Relationship Id="rId98" Type="http://schemas.openxmlformats.org/officeDocument/2006/relationships/image" Target="../media/image98.jpeg"/><Relationship Id="rId97" Type="http://schemas.openxmlformats.org/officeDocument/2006/relationships/image" Target="../media/image97.jpeg"/><Relationship Id="rId96" Type="http://schemas.openxmlformats.org/officeDocument/2006/relationships/image" Target="../media/image96.jpeg"/><Relationship Id="rId95" Type="http://schemas.openxmlformats.org/officeDocument/2006/relationships/image" Target="../media/image95.jpeg"/><Relationship Id="rId94" Type="http://schemas.openxmlformats.org/officeDocument/2006/relationships/image" Target="../media/image94.jpeg"/><Relationship Id="rId93" Type="http://schemas.openxmlformats.org/officeDocument/2006/relationships/image" Target="../media/image93.jpeg"/><Relationship Id="rId92" Type="http://schemas.openxmlformats.org/officeDocument/2006/relationships/image" Target="../media/image92.jpeg"/><Relationship Id="rId91" Type="http://schemas.openxmlformats.org/officeDocument/2006/relationships/image" Target="../media/image91.png"/><Relationship Id="rId90" Type="http://schemas.openxmlformats.org/officeDocument/2006/relationships/image" Target="../media/image90.jpeg"/><Relationship Id="rId9" Type="http://schemas.openxmlformats.org/officeDocument/2006/relationships/image" Target="../media/image9.jpeg"/><Relationship Id="rId89" Type="http://schemas.openxmlformats.org/officeDocument/2006/relationships/image" Target="../media/image89.jpeg"/><Relationship Id="rId88" Type="http://schemas.openxmlformats.org/officeDocument/2006/relationships/image" Target="../media/image88.jpeg"/><Relationship Id="rId87" Type="http://schemas.openxmlformats.org/officeDocument/2006/relationships/image" Target="../media/image87.jpeg"/><Relationship Id="rId86" Type="http://schemas.openxmlformats.org/officeDocument/2006/relationships/image" Target="../media/image86.jpeg"/><Relationship Id="rId85" Type="http://schemas.openxmlformats.org/officeDocument/2006/relationships/image" Target="../media/image85.jpeg"/><Relationship Id="rId84" Type="http://schemas.openxmlformats.org/officeDocument/2006/relationships/image" Target="../media/image84.jpeg"/><Relationship Id="rId83" Type="http://schemas.openxmlformats.org/officeDocument/2006/relationships/image" Target="../media/image83.jpeg"/><Relationship Id="rId82" Type="http://schemas.openxmlformats.org/officeDocument/2006/relationships/image" Target="../media/image82.jpeg"/><Relationship Id="rId81" Type="http://schemas.openxmlformats.org/officeDocument/2006/relationships/image" Target="../media/image81.jpeg"/><Relationship Id="rId80" Type="http://schemas.openxmlformats.org/officeDocument/2006/relationships/image" Target="../media/image80.jpeg"/><Relationship Id="rId8" Type="http://schemas.openxmlformats.org/officeDocument/2006/relationships/image" Target="../media/image8.jpeg"/><Relationship Id="rId79" Type="http://schemas.openxmlformats.org/officeDocument/2006/relationships/image" Target="../media/image79.jpeg"/><Relationship Id="rId78" Type="http://schemas.openxmlformats.org/officeDocument/2006/relationships/image" Target="../media/image78.jpeg"/><Relationship Id="rId77" Type="http://schemas.openxmlformats.org/officeDocument/2006/relationships/image" Target="../media/image77.jpeg"/><Relationship Id="rId76" Type="http://schemas.openxmlformats.org/officeDocument/2006/relationships/image" Target="../media/image76.jpeg"/><Relationship Id="rId75" Type="http://schemas.openxmlformats.org/officeDocument/2006/relationships/image" Target="../media/image75.jpeg"/><Relationship Id="rId74" Type="http://schemas.openxmlformats.org/officeDocument/2006/relationships/image" Target="../media/image74.jpeg"/><Relationship Id="rId73" Type="http://schemas.openxmlformats.org/officeDocument/2006/relationships/image" Target="../media/image73.jpeg"/><Relationship Id="rId72" Type="http://schemas.openxmlformats.org/officeDocument/2006/relationships/image" Target="../media/image72.jpeg"/><Relationship Id="rId71" Type="http://schemas.openxmlformats.org/officeDocument/2006/relationships/image" Target="../media/image71.jpeg"/><Relationship Id="rId70" Type="http://schemas.openxmlformats.org/officeDocument/2006/relationships/image" Target="../media/image70.jpeg"/><Relationship Id="rId7" Type="http://schemas.openxmlformats.org/officeDocument/2006/relationships/image" Target="../media/image7.jpeg"/><Relationship Id="rId69" Type="http://schemas.openxmlformats.org/officeDocument/2006/relationships/image" Target="../media/image69.jpeg"/><Relationship Id="rId68" Type="http://schemas.openxmlformats.org/officeDocument/2006/relationships/image" Target="../media/image68.jpeg"/><Relationship Id="rId67" Type="http://schemas.openxmlformats.org/officeDocument/2006/relationships/image" Target="../media/image67.jpeg"/><Relationship Id="rId66" Type="http://schemas.openxmlformats.org/officeDocument/2006/relationships/image" Target="../media/image66.jpeg"/><Relationship Id="rId65" Type="http://schemas.openxmlformats.org/officeDocument/2006/relationships/image" Target="../media/image65.jpeg"/><Relationship Id="rId64" Type="http://schemas.openxmlformats.org/officeDocument/2006/relationships/image" Target="../media/image64.jpeg"/><Relationship Id="rId63" Type="http://schemas.openxmlformats.org/officeDocument/2006/relationships/image" Target="../media/image63.jpeg"/><Relationship Id="rId62" Type="http://schemas.openxmlformats.org/officeDocument/2006/relationships/image" Target="../media/image62.jpeg"/><Relationship Id="rId61" Type="http://schemas.openxmlformats.org/officeDocument/2006/relationships/image" Target="../media/image61.jpeg"/><Relationship Id="rId60" Type="http://schemas.openxmlformats.org/officeDocument/2006/relationships/image" Target="../media/image60.jpeg"/><Relationship Id="rId6" Type="http://schemas.openxmlformats.org/officeDocument/2006/relationships/image" Target="../media/image6.jpeg"/><Relationship Id="rId59" Type="http://schemas.openxmlformats.org/officeDocument/2006/relationships/image" Target="../media/image59.jpeg"/><Relationship Id="rId58" Type="http://schemas.openxmlformats.org/officeDocument/2006/relationships/image" Target="../media/image58.jpeg"/><Relationship Id="rId57" Type="http://schemas.openxmlformats.org/officeDocument/2006/relationships/image" Target="../media/image57.jpeg"/><Relationship Id="rId56" Type="http://schemas.openxmlformats.org/officeDocument/2006/relationships/image" Target="../media/image56.jpeg"/><Relationship Id="rId55" Type="http://schemas.openxmlformats.org/officeDocument/2006/relationships/image" Target="../media/image55.jpeg"/><Relationship Id="rId54" Type="http://schemas.openxmlformats.org/officeDocument/2006/relationships/image" Target="../media/image54.jpeg"/><Relationship Id="rId53" Type="http://schemas.openxmlformats.org/officeDocument/2006/relationships/image" Target="../media/image53.jpeg"/><Relationship Id="rId52" Type="http://schemas.openxmlformats.org/officeDocument/2006/relationships/image" Target="../media/image52.jpeg"/><Relationship Id="rId51" Type="http://schemas.openxmlformats.org/officeDocument/2006/relationships/image" Target="../media/image51.jpeg"/><Relationship Id="rId50" Type="http://schemas.openxmlformats.org/officeDocument/2006/relationships/image" Target="../media/image50.jpeg"/><Relationship Id="rId5" Type="http://schemas.openxmlformats.org/officeDocument/2006/relationships/image" Target="../media/image5.jpeg"/><Relationship Id="rId49" Type="http://schemas.openxmlformats.org/officeDocument/2006/relationships/image" Target="../media/image49.jpeg"/><Relationship Id="rId48" Type="http://schemas.openxmlformats.org/officeDocument/2006/relationships/image" Target="../media/image48.jpeg"/><Relationship Id="rId47" Type="http://schemas.openxmlformats.org/officeDocument/2006/relationships/image" Target="../media/image47.jpeg"/><Relationship Id="rId46" Type="http://schemas.openxmlformats.org/officeDocument/2006/relationships/image" Target="../media/image46.jpeg"/><Relationship Id="rId45" Type="http://schemas.openxmlformats.org/officeDocument/2006/relationships/image" Target="../media/image45.jpeg"/><Relationship Id="rId44" Type="http://schemas.openxmlformats.org/officeDocument/2006/relationships/image" Target="../media/image44.jpeg"/><Relationship Id="rId43" Type="http://schemas.openxmlformats.org/officeDocument/2006/relationships/image" Target="../media/image43.jpeg"/><Relationship Id="rId42" Type="http://schemas.openxmlformats.org/officeDocument/2006/relationships/image" Target="../media/image42.jpeg"/><Relationship Id="rId41" Type="http://schemas.openxmlformats.org/officeDocument/2006/relationships/image" Target="../media/image41.jpeg"/><Relationship Id="rId40" Type="http://schemas.openxmlformats.org/officeDocument/2006/relationships/image" Target="../media/image40.jpeg"/><Relationship Id="rId4" Type="http://schemas.openxmlformats.org/officeDocument/2006/relationships/image" Target="../media/image4.jpeg"/><Relationship Id="rId39" Type="http://schemas.openxmlformats.org/officeDocument/2006/relationships/image" Target="../media/image39.jpeg"/><Relationship Id="rId38" Type="http://schemas.openxmlformats.org/officeDocument/2006/relationships/image" Target="../media/image38.jpeg"/><Relationship Id="rId37" Type="http://schemas.openxmlformats.org/officeDocument/2006/relationships/image" Target="../media/image37.jpeg"/><Relationship Id="rId36" Type="http://schemas.openxmlformats.org/officeDocument/2006/relationships/image" Target="../media/image36.jpeg"/><Relationship Id="rId35" Type="http://schemas.openxmlformats.org/officeDocument/2006/relationships/image" Target="../media/image35.jpeg"/><Relationship Id="rId34" Type="http://schemas.openxmlformats.org/officeDocument/2006/relationships/image" Target="../media/image34.jpeg"/><Relationship Id="rId33" Type="http://schemas.openxmlformats.org/officeDocument/2006/relationships/image" Target="../media/image33.jpeg"/><Relationship Id="rId32" Type="http://schemas.openxmlformats.org/officeDocument/2006/relationships/image" Target="../media/image32.jpeg"/><Relationship Id="rId31" Type="http://schemas.openxmlformats.org/officeDocument/2006/relationships/image" Target="../media/image31.jpeg"/><Relationship Id="rId30" Type="http://schemas.openxmlformats.org/officeDocument/2006/relationships/image" Target="../media/image30.jpeg"/><Relationship Id="rId3" Type="http://schemas.openxmlformats.org/officeDocument/2006/relationships/image" Target="../media/image3.jpeg"/><Relationship Id="rId29" Type="http://schemas.openxmlformats.org/officeDocument/2006/relationships/image" Target="../media/image29.jpeg"/><Relationship Id="rId28" Type="http://schemas.openxmlformats.org/officeDocument/2006/relationships/image" Target="../media/image28.jpeg"/><Relationship Id="rId27" Type="http://schemas.openxmlformats.org/officeDocument/2006/relationships/image" Target="../media/image27.jpeg"/><Relationship Id="rId26" Type="http://schemas.openxmlformats.org/officeDocument/2006/relationships/image" Target="../media/image26.jpeg"/><Relationship Id="rId25" Type="http://schemas.openxmlformats.org/officeDocument/2006/relationships/image" Target="../media/image25.jpeg"/><Relationship Id="rId24" Type="http://schemas.openxmlformats.org/officeDocument/2006/relationships/image" Target="../media/image24.jpeg"/><Relationship Id="rId23" Type="http://schemas.openxmlformats.org/officeDocument/2006/relationships/image" Target="../media/image23.jpeg"/><Relationship Id="rId22" Type="http://schemas.openxmlformats.org/officeDocument/2006/relationships/image" Target="../media/image22.jpeg"/><Relationship Id="rId21" Type="http://schemas.openxmlformats.org/officeDocument/2006/relationships/image" Target="../media/image21.jpeg"/><Relationship Id="rId20" Type="http://schemas.openxmlformats.org/officeDocument/2006/relationships/image" Target="../media/image20.jpeg"/><Relationship Id="rId2" Type="http://schemas.openxmlformats.org/officeDocument/2006/relationships/image" Target="../media/image2.jpeg"/><Relationship Id="rId19" Type="http://schemas.openxmlformats.org/officeDocument/2006/relationships/image" Target="../media/image19.jpeg"/><Relationship Id="rId18" Type="http://schemas.openxmlformats.org/officeDocument/2006/relationships/image" Target="../media/image18.jpeg"/><Relationship Id="rId17" Type="http://schemas.openxmlformats.org/officeDocument/2006/relationships/image" Target="../media/image17.jpeg"/><Relationship Id="rId16" Type="http://schemas.openxmlformats.org/officeDocument/2006/relationships/image" Target="../media/image16.jpeg"/><Relationship Id="rId156" Type="http://schemas.openxmlformats.org/officeDocument/2006/relationships/image" Target="../media/image156.jpeg"/><Relationship Id="rId155" Type="http://schemas.openxmlformats.org/officeDocument/2006/relationships/image" Target="../media/image155.jpeg"/><Relationship Id="rId154" Type="http://schemas.openxmlformats.org/officeDocument/2006/relationships/image" Target="../media/image154.jpeg"/><Relationship Id="rId153" Type="http://schemas.openxmlformats.org/officeDocument/2006/relationships/image" Target="../media/image153.jpeg"/><Relationship Id="rId152" Type="http://schemas.openxmlformats.org/officeDocument/2006/relationships/image" Target="../media/image152.jpeg"/><Relationship Id="rId151" Type="http://schemas.openxmlformats.org/officeDocument/2006/relationships/image" Target="../media/image151.jpeg"/><Relationship Id="rId150" Type="http://schemas.openxmlformats.org/officeDocument/2006/relationships/image" Target="../media/image150.jpeg"/><Relationship Id="rId15" Type="http://schemas.openxmlformats.org/officeDocument/2006/relationships/image" Target="../media/image15.jpeg"/><Relationship Id="rId149" Type="http://schemas.openxmlformats.org/officeDocument/2006/relationships/image" Target="../media/image149.jpeg"/><Relationship Id="rId148" Type="http://schemas.openxmlformats.org/officeDocument/2006/relationships/image" Target="../media/image148.jpeg"/><Relationship Id="rId147" Type="http://schemas.openxmlformats.org/officeDocument/2006/relationships/image" Target="../media/image147.jpeg"/><Relationship Id="rId146" Type="http://schemas.openxmlformats.org/officeDocument/2006/relationships/image" Target="../media/image146.jpeg"/><Relationship Id="rId145" Type="http://schemas.openxmlformats.org/officeDocument/2006/relationships/image" Target="../media/image145.jpeg"/><Relationship Id="rId144" Type="http://schemas.openxmlformats.org/officeDocument/2006/relationships/image" Target="../media/image144.jpeg"/><Relationship Id="rId143" Type="http://schemas.openxmlformats.org/officeDocument/2006/relationships/image" Target="../media/image143.jpeg"/><Relationship Id="rId142" Type="http://schemas.openxmlformats.org/officeDocument/2006/relationships/image" Target="../media/image142.jpeg"/><Relationship Id="rId141" Type="http://schemas.openxmlformats.org/officeDocument/2006/relationships/image" Target="../media/image141.jpeg"/><Relationship Id="rId140" Type="http://schemas.openxmlformats.org/officeDocument/2006/relationships/image" Target="../media/image140.jpeg"/><Relationship Id="rId14" Type="http://schemas.openxmlformats.org/officeDocument/2006/relationships/image" Target="../media/image14.jpeg"/><Relationship Id="rId139" Type="http://schemas.openxmlformats.org/officeDocument/2006/relationships/image" Target="../media/image139.jpeg"/><Relationship Id="rId138" Type="http://schemas.openxmlformats.org/officeDocument/2006/relationships/image" Target="../media/image138.jpeg"/><Relationship Id="rId137" Type="http://schemas.openxmlformats.org/officeDocument/2006/relationships/image" Target="../media/image137.jpeg"/><Relationship Id="rId136" Type="http://schemas.openxmlformats.org/officeDocument/2006/relationships/image" Target="../media/image136.jpeg"/><Relationship Id="rId135" Type="http://schemas.openxmlformats.org/officeDocument/2006/relationships/image" Target="../media/image135.jpeg"/><Relationship Id="rId134" Type="http://schemas.openxmlformats.org/officeDocument/2006/relationships/image" Target="../media/image134.jpeg"/><Relationship Id="rId133" Type="http://schemas.openxmlformats.org/officeDocument/2006/relationships/image" Target="../media/image133.jpeg"/><Relationship Id="rId132" Type="http://schemas.openxmlformats.org/officeDocument/2006/relationships/image" Target="../media/image132.jpeg"/><Relationship Id="rId131" Type="http://schemas.openxmlformats.org/officeDocument/2006/relationships/image" Target="../media/image131.jpeg"/><Relationship Id="rId130" Type="http://schemas.openxmlformats.org/officeDocument/2006/relationships/image" Target="../media/image130.jpeg"/><Relationship Id="rId13" Type="http://schemas.openxmlformats.org/officeDocument/2006/relationships/image" Target="../media/image13.jpeg"/><Relationship Id="rId129" Type="http://schemas.openxmlformats.org/officeDocument/2006/relationships/image" Target="../media/image129.jpeg"/><Relationship Id="rId128" Type="http://schemas.openxmlformats.org/officeDocument/2006/relationships/image" Target="../media/image128.jpeg"/><Relationship Id="rId127" Type="http://schemas.openxmlformats.org/officeDocument/2006/relationships/image" Target="../media/image127.jpeg"/><Relationship Id="rId126" Type="http://schemas.openxmlformats.org/officeDocument/2006/relationships/image" Target="../media/image126.jpeg"/><Relationship Id="rId125" Type="http://schemas.openxmlformats.org/officeDocument/2006/relationships/image" Target="../media/image125.jpeg"/><Relationship Id="rId124" Type="http://schemas.openxmlformats.org/officeDocument/2006/relationships/image" Target="../media/image124.jpeg"/><Relationship Id="rId123" Type="http://schemas.openxmlformats.org/officeDocument/2006/relationships/image" Target="../media/image123.jpeg"/><Relationship Id="rId122" Type="http://schemas.openxmlformats.org/officeDocument/2006/relationships/image" Target="../media/image122.jpeg"/><Relationship Id="rId121" Type="http://schemas.openxmlformats.org/officeDocument/2006/relationships/image" Target="../media/image121.jpeg"/><Relationship Id="rId120" Type="http://schemas.openxmlformats.org/officeDocument/2006/relationships/image" Target="../media/image120.jpeg"/><Relationship Id="rId12" Type="http://schemas.openxmlformats.org/officeDocument/2006/relationships/image" Target="../media/image12.jpeg"/><Relationship Id="rId119" Type="http://schemas.openxmlformats.org/officeDocument/2006/relationships/image" Target="../media/image119.jpeg"/><Relationship Id="rId118" Type="http://schemas.openxmlformats.org/officeDocument/2006/relationships/image" Target="../media/image118.jpeg"/><Relationship Id="rId117" Type="http://schemas.openxmlformats.org/officeDocument/2006/relationships/image" Target="../media/image117.jpeg"/><Relationship Id="rId116" Type="http://schemas.openxmlformats.org/officeDocument/2006/relationships/image" Target="../media/image116.jpeg"/><Relationship Id="rId115" Type="http://schemas.openxmlformats.org/officeDocument/2006/relationships/image" Target="../media/image115.jpeg"/><Relationship Id="rId114" Type="http://schemas.openxmlformats.org/officeDocument/2006/relationships/image" Target="../media/image114.jpeg"/><Relationship Id="rId113" Type="http://schemas.openxmlformats.org/officeDocument/2006/relationships/image" Target="../media/image113.jpeg"/><Relationship Id="rId112" Type="http://schemas.openxmlformats.org/officeDocument/2006/relationships/image" Target="../media/image112.jpeg"/><Relationship Id="rId111" Type="http://schemas.openxmlformats.org/officeDocument/2006/relationships/image" Target="../media/image111.jpeg"/><Relationship Id="rId110" Type="http://schemas.openxmlformats.org/officeDocument/2006/relationships/image" Target="../media/image110.jpeg"/><Relationship Id="rId11" Type="http://schemas.openxmlformats.org/officeDocument/2006/relationships/image" Target="../media/image11.jpeg"/><Relationship Id="rId109" Type="http://schemas.openxmlformats.org/officeDocument/2006/relationships/image" Target="../media/image109.jpeg"/><Relationship Id="rId108" Type="http://schemas.openxmlformats.org/officeDocument/2006/relationships/image" Target="../media/image108.jpeg"/><Relationship Id="rId107" Type="http://schemas.openxmlformats.org/officeDocument/2006/relationships/image" Target="../media/image107.jpeg"/><Relationship Id="rId106" Type="http://schemas.openxmlformats.org/officeDocument/2006/relationships/image" Target="../media/image106.jpeg"/><Relationship Id="rId105" Type="http://schemas.openxmlformats.org/officeDocument/2006/relationships/image" Target="../media/image105.jpeg"/><Relationship Id="rId104" Type="http://schemas.openxmlformats.org/officeDocument/2006/relationships/image" Target="../media/image104.jpeg"/><Relationship Id="rId103" Type="http://schemas.openxmlformats.org/officeDocument/2006/relationships/image" Target="../media/image103.jpeg"/><Relationship Id="rId102" Type="http://schemas.openxmlformats.org/officeDocument/2006/relationships/image" Target="../media/image102.jpeg"/><Relationship Id="rId101" Type="http://schemas.openxmlformats.org/officeDocument/2006/relationships/image" Target="../media/image101.jpeg"/><Relationship Id="rId100" Type="http://schemas.openxmlformats.org/officeDocument/2006/relationships/image" Target="../media/image100.jpeg"/><Relationship Id="rId10" Type="http://schemas.openxmlformats.org/officeDocument/2006/relationships/image" Target="../media/image10.jpeg"/><Relationship Id="rId1" Type="http://schemas.openxmlformats.org/officeDocument/2006/relationships/image" Target="../media/image1.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xdr:from>
      <xdr:col>11</xdr:col>
      <xdr:colOff>207151</xdr:colOff>
      <xdr:row>0</xdr:row>
      <xdr:rowOff>66674</xdr:rowOff>
    </xdr:from>
    <xdr:to>
      <xdr:col>12</xdr:col>
      <xdr:colOff>994846</xdr:colOff>
      <xdr:row>1</xdr:row>
      <xdr:rowOff>477611</xdr:rowOff>
    </xdr:to>
    <xdr:pic>
      <xdr:nvPicPr>
        <xdr:cNvPr id="2" name="image1.jpeg"/>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18786475" y="66040"/>
          <a:ext cx="1598930" cy="919480"/>
        </a:xfrm>
        <a:prstGeom prst="rect">
          <a:avLst/>
        </a:prstGeom>
      </xdr:spPr>
    </xdr:pic>
    <xdr:clientData/>
  </xdr:twoCellAnchor>
  <xdr:twoCellAnchor>
    <xdr:from>
      <xdr:col>4</xdr:col>
      <xdr:colOff>33020</xdr:colOff>
      <xdr:row>7</xdr:row>
      <xdr:rowOff>113829</xdr:rowOff>
    </xdr:from>
    <xdr:to>
      <xdr:col>4</xdr:col>
      <xdr:colOff>1213422</xdr:colOff>
      <xdr:row>7</xdr:row>
      <xdr:rowOff>847724</xdr:rowOff>
    </xdr:to>
    <xdr:pic>
      <xdr:nvPicPr>
        <xdr:cNvPr id="3" name="image1.jpeg"/>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4902200" y="5234305"/>
          <a:ext cx="1179830" cy="733425"/>
        </a:xfrm>
        <a:prstGeom prst="rect">
          <a:avLst/>
        </a:prstGeom>
      </xdr:spPr>
    </xdr:pic>
    <xdr:clientData/>
  </xdr:twoCellAnchor>
  <xdr:twoCellAnchor>
    <xdr:from>
      <xdr:col>4</xdr:col>
      <xdr:colOff>58928</xdr:colOff>
      <xdr:row>6</xdr:row>
      <xdr:rowOff>200863</xdr:rowOff>
    </xdr:from>
    <xdr:to>
      <xdr:col>4</xdr:col>
      <xdr:colOff>1248932</xdr:colOff>
      <xdr:row>6</xdr:row>
      <xdr:rowOff>800100</xdr:rowOff>
    </xdr:to>
    <xdr:pic>
      <xdr:nvPicPr>
        <xdr:cNvPr id="4" name="image2.jpeg"/>
        <xdr:cNvPicPr>
          <a:picLocks noChangeAspect="1"/>
        </xdr:cNvPicPr>
      </xdr:nvPicPr>
      <xdr:blipFill>
        <a:blip r:embed="rId3">
          <a:extLst>
            <a:ext uri="{28A0092B-C50C-407E-A947-70E740481C1C}">
              <a14:useLocalDpi xmlns:a14="http://schemas.microsoft.com/office/drawing/2010/main" val="0"/>
            </a:ext>
          </a:extLst>
        </a:blip>
        <a:stretch>
          <a:fillRect/>
        </a:stretch>
      </xdr:blipFill>
      <xdr:spPr>
        <a:xfrm>
          <a:off x="4927600" y="4303395"/>
          <a:ext cx="1189990" cy="599440"/>
        </a:xfrm>
        <a:prstGeom prst="rect">
          <a:avLst/>
        </a:prstGeom>
      </xdr:spPr>
    </xdr:pic>
    <xdr:clientData/>
  </xdr:twoCellAnchor>
  <xdr:twoCellAnchor>
    <xdr:from>
      <xdr:col>4</xdr:col>
      <xdr:colOff>52577</xdr:colOff>
      <xdr:row>4</xdr:row>
      <xdr:rowOff>206311</xdr:rowOff>
    </xdr:from>
    <xdr:to>
      <xdr:col>4</xdr:col>
      <xdr:colOff>1211788</xdr:colOff>
      <xdr:row>4</xdr:row>
      <xdr:rowOff>866775</xdr:rowOff>
    </xdr:to>
    <xdr:pic>
      <xdr:nvPicPr>
        <xdr:cNvPr id="5" name="image3.jpeg"/>
        <xdr:cNvPicPr>
          <a:picLocks noChangeAspect="1"/>
        </xdr:cNvPicPr>
      </xdr:nvPicPr>
      <xdr:blipFill>
        <a:blip r:embed="rId4">
          <a:extLst>
            <a:ext uri="{28A0092B-C50C-407E-A947-70E740481C1C}">
              <a14:useLocalDpi xmlns:a14="http://schemas.microsoft.com/office/drawing/2010/main" val="0"/>
            </a:ext>
          </a:extLst>
        </a:blip>
        <a:stretch>
          <a:fillRect/>
        </a:stretch>
      </xdr:blipFill>
      <xdr:spPr>
        <a:xfrm>
          <a:off x="4921250" y="2280920"/>
          <a:ext cx="1159510" cy="661035"/>
        </a:xfrm>
        <a:prstGeom prst="rect">
          <a:avLst/>
        </a:prstGeom>
      </xdr:spPr>
    </xdr:pic>
    <xdr:clientData/>
  </xdr:twoCellAnchor>
  <xdr:twoCellAnchor>
    <xdr:from>
      <xdr:col>4</xdr:col>
      <xdr:colOff>26920</xdr:colOff>
      <xdr:row>5</xdr:row>
      <xdr:rowOff>150362</xdr:rowOff>
    </xdr:from>
    <xdr:to>
      <xdr:col>4</xdr:col>
      <xdr:colOff>1209675</xdr:colOff>
      <xdr:row>5</xdr:row>
      <xdr:rowOff>708158</xdr:rowOff>
    </xdr:to>
    <xdr:pic>
      <xdr:nvPicPr>
        <xdr:cNvPr id="6" name="image4.jpeg"/>
        <xdr:cNvPicPr>
          <a:picLocks noChangeAspect="1"/>
        </xdr:cNvPicPr>
      </xdr:nvPicPr>
      <xdr:blipFill>
        <a:blip r:embed="rId5">
          <a:extLst>
            <a:ext uri="{28A0092B-C50C-407E-A947-70E740481C1C}">
              <a14:useLocalDpi xmlns:a14="http://schemas.microsoft.com/office/drawing/2010/main" val="0"/>
            </a:ext>
          </a:extLst>
        </a:blip>
        <a:stretch>
          <a:fillRect/>
        </a:stretch>
      </xdr:blipFill>
      <xdr:spPr>
        <a:xfrm>
          <a:off x="4895850" y="3242945"/>
          <a:ext cx="1183005" cy="558165"/>
        </a:xfrm>
        <a:prstGeom prst="rect">
          <a:avLst/>
        </a:prstGeom>
      </xdr:spPr>
    </xdr:pic>
    <xdr:clientData/>
  </xdr:twoCellAnchor>
  <xdr:twoCellAnchor>
    <xdr:from>
      <xdr:col>4</xdr:col>
      <xdr:colOff>48640</xdr:colOff>
      <xdr:row>12</xdr:row>
      <xdr:rowOff>167157</xdr:rowOff>
    </xdr:from>
    <xdr:to>
      <xdr:col>4</xdr:col>
      <xdr:colOff>1227560</xdr:colOff>
      <xdr:row>12</xdr:row>
      <xdr:rowOff>819150</xdr:rowOff>
    </xdr:to>
    <xdr:pic>
      <xdr:nvPicPr>
        <xdr:cNvPr id="7" name="image5.jpeg"/>
        <xdr:cNvPicPr>
          <a:picLocks noChangeAspect="1"/>
        </xdr:cNvPicPr>
      </xdr:nvPicPr>
      <xdr:blipFill>
        <a:blip r:embed="rId6">
          <a:extLst>
            <a:ext uri="{28A0092B-C50C-407E-A947-70E740481C1C}">
              <a14:useLocalDpi xmlns:a14="http://schemas.microsoft.com/office/drawing/2010/main" val="0"/>
            </a:ext>
          </a:extLst>
        </a:blip>
        <a:stretch>
          <a:fillRect/>
        </a:stretch>
      </xdr:blipFill>
      <xdr:spPr>
        <a:xfrm>
          <a:off x="4917440" y="10377170"/>
          <a:ext cx="1179195" cy="652145"/>
        </a:xfrm>
        <a:prstGeom prst="rect">
          <a:avLst/>
        </a:prstGeom>
      </xdr:spPr>
    </xdr:pic>
    <xdr:clientData/>
  </xdr:twoCellAnchor>
  <xdr:twoCellAnchor>
    <xdr:from>
      <xdr:col>4</xdr:col>
      <xdr:colOff>59690</xdr:colOff>
      <xdr:row>8</xdr:row>
      <xdr:rowOff>210642</xdr:rowOff>
    </xdr:from>
    <xdr:to>
      <xdr:col>4</xdr:col>
      <xdr:colOff>1214548</xdr:colOff>
      <xdr:row>8</xdr:row>
      <xdr:rowOff>809625</xdr:rowOff>
    </xdr:to>
    <xdr:pic>
      <xdr:nvPicPr>
        <xdr:cNvPr id="8" name="image7.jpeg"/>
        <xdr:cNvPicPr>
          <a:picLocks noChangeAspect="1"/>
        </xdr:cNvPicPr>
      </xdr:nvPicPr>
      <xdr:blipFill>
        <a:blip r:embed="rId7">
          <a:extLst>
            <a:ext uri="{28A0092B-C50C-407E-A947-70E740481C1C}">
              <a14:useLocalDpi xmlns:a14="http://schemas.microsoft.com/office/drawing/2010/main" val="0"/>
            </a:ext>
          </a:extLst>
        </a:blip>
        <a:stretch>
          <a:fillRect/>
        </a:stretch>
      </xdr:blipFill>
      <xdr:spPr>
        <a:xfrm>
          <a:off x="4928870" y="6348730"/>
          <a:ext cx="1154430" cy="599440"/>
        </a:xfrm>
        <a:prstGeom prst="rect">
          <a:avLst/>
        </a:prstGeom>
      </xdr:spPr>
    </xdr:pic>
    <xdr:clientData/>
  </xdr:twoCellAnchor>
  <xdr:twoCellAnchor>
    <xdr:from>
      <xdr:col>4</xdr:col>
      <xdr:colOff>128680</xdr:colOff>
      <xdr:row>9</xdr:row>
      <xdr:rowOff>194508</xdr:rowOff>
    </xdr:from>
    <xdr:to>
      <xdr:col>4</xdr:col>
      <xdr:colOff>1157354</xdr:colOff>
      <xdr:row>9</xdr:row>
      <xdr:rowOff>800100</xdr:rowOff>
    </xdr:to>
    <xdr:pic>
      <xdr:nvPicPr>
        <xdr:cNvPr id="9" name="image8.jpeg"/>
        <xdr:cNvPicPr>
          <a:picLocks noChangeAspect="1"/>
        </xdr:cNvPicPr>
      </xdr:nvPicPr>
      <xdr:blipFill>
        <a:blip r:embed="rId8">
          <a:extLst>
            <a:ext uri="{28A0092B-C50C-407E-A947-70E740481C1C}">
              <a14:useLocalDpi xmlns:a14="http://schemas.microsoft.com/office/drawing/2010/main" val="0"/>
            </a:ext>
          </a:extLst>
        </a:blip>
        <a:stretch>
          <a:fillRect/>
        </a:stretch>
      </xdr:blipFill>
      <xdr:spPr>
        <a:xfrm>
          <a:off x="4997450" y="7350760"/>
          <a:ext cx="1028700" cy="605790"/>
        </a:xfrm>
        <a:prstGeom prst="rect">
          <a:avLst/>
        </a:prstGeom>
      </xdr:spPr>
    </xdr:pic>
    <xdr:clientData/>
  </xdr:twoCellAnchor>
  <xdr:twoCellAnchor>
    <xdr:from>
      <xdr:col>4</xdr:col>
      <xdr:colOff>50164</xdr:colOff>
      <xdr:row>10</xdr:row>
      <xdr:rowOff>280961</xdr:rowOff>
    </xdr:from>
    <xdr:to>
      <xdr:col>4</xdr:col>
      <xdr:colOff>1245723</xdr:colOff>
      <xdr:row>10</xdr:row>
      <xdr:rowOff>828675</xdr:rowOff>
    </xdr:to>
    <xdr:pic>
      <xdr:nvPicPr>
        <xdr:cNvPr id="10" name="image9.jpeg"/>
        <xdr:cNvPicPr>
          <a:picLocks noChangeAspect="1"/>
        </xdr:cNvPicPr>
      </xdr:nvPicPr>
      <xdr:blipFill>
        <a:blip r:embed="rId9">
          <a:extLst>
            <a:ext uri="{28A0092B-C50C-407E-A947-70E740481C1C}">
              <a14:useLocalDpi xmlns:a14="http://schemas.microsoft.com/office/drawing/2010/main" val="0"/>
            </a:ext>
          </a:extLst>
        </a:blip>
        <a:stretch>
          <a:fillRect/>
        </a:stretch>
      </xdr:blipFill>
      <xdr:spPr>
        <a:xfrm>
          <a:off x="4918710" y="8455025"/>
          <a:ext cx="1195705" cy="548005"/>
        </a:xfrm>
        <a:prstGeom prst="rect">
          <a:avLst/>
        </a:prstGeom>
      </xdr:spPr>
    </xdr:pic>
    <xdr:clientData/>
  </xdr:twoCellAnchor>
  <xdr:twoCellAnchor>
    <xdr:from>
      <xdr:col>4</xdr:col>
      <xdr:colOff>59011</xdr:colOff>
      <xdr:row>11</xdr:row>
      <xdr:rowOff>285667</xdr:rowOff>
    </xdr:from>
    <xdr:to>
      <xdr:col>4</xdr:col>
      <xdr:colOff>1230073</xdr:colOff>
      <xdr:row>11</xdr:row>
      <xdr:rowOff>895350</xdr:rowOff>
    </xdr:to>
    <xdr:pic>
      <xdr:nvPicPr>
        <xdr:cNvPr id="11" name="image10.jpeg"/>
        <xdr:cNvPicPr>
          <a:picLocks noChangeAspect="1"/>
        </xdr:cNvPicPr>
      </xdr:nvPicPr>
      <xdr:blipFill>
        <a:blip r:embed="rId10">
          <a:extLst>
            <a:ext uri="{28A0092B-C50C-407E-A947-70E740481C1C}">
              <a14:useLocalDpi xmlns:a14="http://schemas.microsoft.com/office/drawing/2010/main" val="0"/>
            </a:ext>
          </a:extLst>
        </a:blip>
        <a:stretch>
          <a:fillRect/>
        </a:stretch>
      </xdr:blipFill>
      <xdr:spPr>
        <a:xfrm>
          <a:off x="4927600" y="9477375"/>
          <a:ext cx="1171575" cy="610235"/>
        </a:xfrm>
        <a:prstGeom prst="rect">
          <a:avLst/>
        </a:prstGeom>
      </xdr:spPr>
    </xdr:pic>
    <xdr:clientData/>
  </xdr:twoCellAnchor>
  <xdr:twoCellAnchor>
    <xdr:from>
      <xdr:col>4</xdr:col>
      <xdr:colOff>27685</xdr:colOff>
      <xdr:row>13</xdr:row>
      <xdr:rowOff>180885</xdr:rowOff>
    </xdr:from>
    <xdr:to>
      <xdr:col>4</xdr:col>
      <xdr:colOff>1209675</xdr:colOff>
      <xdr:row>13</xdr:row>
      <xdr:rowOff>740874</xdr:rowOff>
    </xdr:to>
    <xdr:pic>
      <xdr:nvPicPr>
        <xdr:cNvPr id="12" name="image11.jpeg"/>
        <xdr:cNvPicPr>
          <a:picLocks noChangeAspect="1"/>
        </xdr:cNvPicPr>
      </xdr:nvPicPr>
      <xdr:blipFill>
        <a:blip r:embed="rId11">
          <a:extLst>
            <a:ext uri="{28A0092B-C50C-407E-A947-70E740481C1C}">
              <a14:useLocalDpi xmlns:a14="http://schemas.microsoft.com/office/drawing/2010/main" val="0"/>
            </a:ext>
          </a:extLst>
        </a:blip>
        <a:stretch>
          <a:fillRect/>
        </a:stretch>
      </xdr:blipFill>
      <xdr:spPr>
        <a:xfrm>
          <a:off x="4896485" y="11408410"/>
          <a:ext cx="1182370" cy="560070"/>
        </a:xfrm>
        <a:prstGeom prst="rect">
          <a:avLst/>
        </a:prstGeom>
      </xdr:spPr>
    </xdr:pic>
    <xdr:clientData/>
  </xdr:twoCellAnchor>
  <xdr:twoCellAnchor>
    <xdr:from>
      <xdr:col>4</xdr:col>
      <xdr:colOff>92327</xdr:colOff>
      <xdr:row>14</xdr:row>
      <xdr:rowOff>270979</xdr:rowOff>
    </xdr:from>
    <xdr:to>
      <xdr:col>4</xdr:col>
      <xdr:colOff>1205330</xdr:colOff>
      <xdr:row>14</xdr:row>
      <xdr:rowOff>866775</xdr:rowOff>
    </xdr:to>
    <xdr:pic>
      <xdr:nvPicPr>
        <xdr:cNvPr id="13" name="image12.jpeg"/>
        <xdr:cNvPicPr>
          <a:picLocks noChangeAspect="1"/>
        </xdr:cNvPicPr>
      </xdr:nvPicPr>
      <xdr:blipFill>
        <a:blip r:embed="rId12">
          <a:extLst>
            <a:ext uri="{28A0092B-C50C-407E-A947-70E740481C1C}">
              <a14:useLocalDpi xmlns:a14="http://schemas.microsoft.com/office/drawing/2010/main" val="0"/>
            </a:ext>
          </a:extLst>
        </a:blip>
        <a:stretch>
          <a:fillRect/>
        </a:stretch>
      </xdr:blipFill>
      <xdr:spPr>
        <a:xfrm>
          <a:off x="4961255" y="12516485"/>
          <a:ext cx="1113155" cy="596265"/>
        </a:xfrm>
        <a:prstGeom prst="rect">
          <a:avLst/>
        </a:prstGeom>
      </xdr:spPr>
    </xdr:pic>
    <xdr:clientData/>
  </xdr:twoCellAnchor>
  <xdr:twoCellAnchor>
    <xdr:from>
      <xdr:col>4</xdr:col>
      <xdr:colOff>135890</xdr:colOff>
      <xdr:row>15</xdr:row>
      <xdr:rowOff>186004</xdr:rowOff>
    </xdr:from>
    <xdr:to>
      <xdr:col>4</xdr:col>
      <xdr:colOff>1201839</xdr:colOff>
      <xdr:row>15</xdr:row>
      <xdr:rowOff>834605</xdr:rowOff>
    </xdr:to>
    <xdr:pic>
      <xdr:nvPicPr>
        <xdr:cNvPr id="14" name="image13.jpeg"/>
        <xdr:cNvPicPr>
          <a:picLocks noChangeAspect="1"/>
        </xdr:cNvPicPr>
      </xdr:nvPicPr>
      <xdr:blipFill>
        <a:blip r:embed="rId13">
          <a:extLst>
            <a:ext uri="{28A0092B-C50C-407E-A947-70E740481C1C}">
              <a14:useLocalDpi xmlns:a14="http://schemas.microsoft.com/office/drawing/2010/main" val="0"/>
            </a:ext>
          </a:extLst>
        </a:blip>
        <a:stretch>
          <a:fillRect/>
        </a:stretch>
      </xdr:blipFill>
      <xdr:spPr>
        <a:xfrm>
          <a:off x="5005070" y="13449300"/>
          <a:ext cx="1065530" cy="648970"/>
        </a:xfrm>
        <a:prstGeom prst="rect">
          <a:avLst/>
        </a:prstGeom>
      </xdr:spPr>
    </xdr:pic>
    <xdr:clientData/>
  </xdr:twoCellAnchor>
  <xdr:twoCellAnchor>
    <xdr:from>
      <xdr:col>4</xdr:col>
      <xdr:colOff>62229</xdr:colOff>
      <xdr:row>18</xdr:row>
      <xdr:rowOff>186309</xdr:rowOff>
    </xdr:from>
    <xdr:to>
      <xdr:col>4</xdr:col>
      <xdr:colOff>1199976</xdr:colOff>
      <xdr:row>18</xdr:row>
      <xdr:rowOff>809625</xdr:rowOff>
    </xdr:to>
    <xdr:pic>
      <xdr:nvPicPr>
        <xdr:cNvPr id="15" name="image14.jpeg"/>
        <xdr:cNvPicPr>
          <a:picLocks noChangeAspect="1"/>
        </xdr:cNvPicPr>
      </xdr:nvPicPr>
      <xdr:blipFill>
        <a:blip r:embed="rId14">
          <a:extLst>
            <a:ext uri="{28A0092B-C50C-407E-A947-70E740481C1C}">
              <a14:useLocalDpi xmlns:a14="http://schemas.microsoft.com/office/drawing/2010/main" val="0"/>
            </a:ext>
          </a:extLst>
        </a:blip>
        <a:stretch>
          <a:fillRect/>
        </a:stretch>
      </xdr:blipFill>
      <xdr:spPr>
        <a:xfrm>
          <a:off x="4930775" y="16503650"/>
          <a:ext cx="1137920" cy="623570"/>
        </a:xfrm>
        <a:prstGeom prst="rect">
          <a:avLst/>
        </a:prstGeom>
      </xdr:spPr>
    </xdr:pic>
    <xdr:clientData/>
  </xdr:twoCellAnchor>
  <xdr:twoCellAnchor>
    <xdr:from>
      <xdr:col>4</xdr:col>
      <xdr:colOff>48867</xdr:colOff>
      <xdr:row>21</xdr:row>
      <xdr:rowOff>202884</xdr:rowOff>
    </xdr:from>
    <xdr:to>
      <xdr:col>4</xdr:col>
      <xdr:colOff>1190625</xdr:colOff>
      <xdr:row>21</xdr:row>
      <xdr:rowOff>838200</xdr:rowOff>
    </xdr:to>
    <xdr:pic>
      <xdr:nvPicPr>
        <xdr:cNvPr id="16" name="image15.jpeg"/>
        <xdr:cNvPicPr>
          <a:picLocks noChangeAspect="1"/>
        </xdr:cNvPicPr>
      </xdr:nvPicPr>
      <xdr:blipFill>
        <a:blip r:embed="rId15">
          <a:extLst>
            <a:ext uri="{28A0092B-C50C-407E-A947-70E740481C1C}">
              <a14:useLocalDpi xmlns:a14="http://schemas.microsoft.com/office/drawing/2010/main" val="0"/>
            </a:ext>
          </a:extLst>
        </a:blip>
        <a:stretch>
          <a:fillRect/>
        </a:stretch>
      </xdr:blipFill>
      <xdr:spPr>
        <a:xfrm>
          <a:off x="4917440" y="19573875"/>
          <a:ext cx="1142365" cy="635635"/>
        </a:xfrm>
        <a:prstGeom prst="rect">
          <a:avLst/>
        </a:prstGeom>
      </xdr:spPr>
    </xdr:pic>
    <xdr:clientData/>
  </xdr:twoCellAnchor>
  <xdr:twoCellAnchor>
    <xdr:from>
      <xdr:col>4</xdr:col>
      <xdr:colOff>34670</xdr:colOff>
      <xdr:row>16</xdr:row>
      <xdr:rowOff>240068</xdr:rowOff>
    </xdr:from>
    <xdr:to>
      <xdr:col>4</xdr:col>
      <xdr:colOff>1239383</xdr:colOff>
      <xdr:row>16</xdr:row>
      <xdr:rowOff>762000</xdr:rowOff>
    </xdr:to>
    <xdr:pic>
      <xdr:nvPicPr>
        <xdr:cNvPr id="17" name="image16.jpeg"/>
        <xdr:cNvPicPr>
          <a:picLocks noChangeAspect="1"/>
        </xdr:cNvPicPr>
      </xdr:nvPicPr>
      <xdr:blipFill>
        <a:blip r:embed="rId16">
          <a:extLst>
            <a:ext uri="{28A0092B-C50C-407E-A947-70E740481C1C}">
              <a14:useLocalDpi xmlns:a14="http://schemas.microsoft.com/office/drawing/2010/main" val="0"/>
            </a:ext>
          </a:extLst>
        </a:blip>
        <a:stretch>
          <a:fillRect/>
        </a:stretch>
      </xdr:blipFill>
      <xdr:spPr>
        <a:xfrm>
          <a:off x="4903470" y="14521815"/>
          <a:ext cx="1204595" cy="521970"/>
        </a:xfrm>
        <a:prstGeom prst="rect">
          <a:avLst/>
        </a:prstGeom>
      </xdr:spPr>
    </xdr:pic>
    <xdr:clientData/>
  </xdr:twoCellAnchor>
  <xdr:twoCellAnchor>
    <xdr:from>
      <xdr:col>4</xdr:col>
      <xdr:colOff>32511</xdr:colOff>
      <xdr:row>17</xdr:row>
      <xdr:rowOff>128637</xdr:rowOff>
    </xdr:from>
    <xdr:to>
      <xdr:col>4</xdr:col>
      <xdr:colOff>1196778</xdr:colOff>
      <xdr:row>17</xdr:row>
      <xdr:rowOff>828674</xdr:rowOff>
    </xdr:to>
    <xdr:pic>
      <xdr:nvPicPr>
        <xdr:cNvPr id="18" name="image17.jpeg"/>
        <xdr:cNvPicPr>
          <a:picLocks noChangeAspect="1"/>
        </xdr:cNvPicPr>
      </xdr:nvPicPr>
      <xdr:blipFill>
        <a:blip r:embed="rId17">
          <a:extLst>
            <a:ext uri="{28A0092B-C50C-407E-A947-70E740481C1C}">
              <a14:useLocalDpi xmlns:a14="http://schemas.microsoft.com/office/drawing/2010/main" val="0"/>
            </a:ext>
          </a:extLst>
        </a:blip>
        <a:stretch>
          <a:fillRect/>
        </a:stretch>
      </xdr:blipFill>
      <xdr:spPr>
        <a:xfrm>
          <a:off x="4901565" y="15427960"/>
          <a:ext cx="1163955" cy="699770"/>
        </a:xfrm>
        <a:prstGeom prst="rect">
          <a:avLst/>
        </a:prstGeom>
      </xdr:spPr>
    </xdr:pic>
    <xdr:clientData/>
  </xdr:twoCellAnchor>
  <xdr:twoCellAnchor>
    <xdr:from>
      <xdr:col>4</xdr:col>
      <xdr:colOff>56640</xdr:colOff>
      <xdr:row>19</xdr:row>
      <xdr:rowOff>198056</xdr:rowOff>
    </xdr:from>
    <xdr:to>
      <xdr:col>4</xdr:col>
      <xdr:colOff>1217475</xdr:colOff>
      <xdr:row>19</xdr:row>
      <xdr:rowOff>923925</xdr:rowOff>
    </xdr:to>
    <xdr:pic>
      <xdr:nvPicPr>
        <xdr:cNvPr id="19" name="image18.jpeg"/>
        <xdr:cNvPicPr>
          <a:picLocks noChangeAspect="1"/>
        </xdr:cNvPicPr>
      </xdr:nvPicPr>
      <xdr:blipFill>
        <a:blip r:embed="rId18">
          <a:extLst>
            <a:ext uri="{28A0092B-C50C-407E-A947-70E740481C1C}">
              <a14:useLocalDpi xmlns:a14="http://schemas.microsoft.com/office/drawing/2010/main" val="0"/>
            </a:ext>
          </a:extLst>
        </a:blip>
        <a:stretch>
          <a:fillRect/>
        </a:stretch>
      </xdr:blipFill>
      <xdr:spPr>
        <a:xfrm>
          <a:off x="4925695" y="17532985"/>
          <a:ext cx="1160780" cy="726440"/>
        </a:xfrm>
        <a:prstGeom prst="rect">
          <a:avLst/>
        </a:prstGeom>
      </xdr:spPr>
    </xdr:pic>
    <xdr:clientData/>
  </xdr:twoCellAnchor>
  <xdr:twoCellAnchor>
    <xdr:from>
      <xdr:col>4</xdr:col>
      <xdr:colOff>106297</xdr:colOff>
      <xdr:row>20</xdr:row>
      <xdr:rowOff>134302</xdr:rowOff>
    </xdr:from>
    <xdr:to>
      <xdr:col>4</xdr:col>
      <xdr:colOff>1219610</xdr:colOff>
      <xdr:row>20</xdr:row>
      <xdr:rowOff>838200</xdr:rowOff>
    </xdr:to>
    <xdr:pic>
      <xdr:nvPicPr>
        <xdr:cNvPr id="20" name="image19.jpeg"/>
        <xdr:cNvPicPr>
          <a:picLocks noChangeAspect="1"/>
        </xdr:cNvPicPr>
      </xdr:nvPicPr>
      <xdr:blipFill>
        <a:blip r:embed="rId19">
          <a:extLst>
            <a:ext uri="{28A0092B-C50C-407E-A947-70E740481C1C}">
              <a14:useLocalDpi xmlns:a14="http://schemas.microsoft.com/office/drawing/2010/main" val="0"/>
            </a:ext>
          </a:extLst>
        </a:blip>
        <a:stretch>
          <a:fillRect/>
        </a:stretch>
      </xdr:blipFill>
      <xdr:spPr>
        <a:xfrm>
          <a:off x="4975225" y="18487390"/>
          <a:ext cx="1113155" cy="704215"/>
        </a:xfrm>
        <a:prstGeom prst="rect">
          <a:avLst/>
        </a:prstGeom>
      </xdr:spPr>
    </xdr:pic>
    <xdr:clientData/>
  </xdr:twoCellAnchor>
  <xdr:twoCellAnchor>
    <xdr:from>
      <xdr:col>4</xdr:col>
      <xdr:colOff>100329</xdr:colOff>
      <xdr:row>22</xdr:row>
      <xdr:rowOff>243127</xdr:rowOff>
    </xdr:from>
    <xdr:to>
      <xdr:col>4</xdr:col>
      <xdr:colOff>1205365</xdr:colOff>
      <xdr:row>22</xdr:row>
      <xdr:rowOff>847724</xdr:rowOff>
    </xdr:to>
    <xdr:pic>
      <xdr:nvPicPr>
        <xdr:cNvPr id="21" name="image20.jpeg"/>
        <xdr:cNvPicPr>
          <a:picLocks noChangeAspect="1"/>
        </xdr:cNvPicPr>
      </xdr:nvPicPr>
      <xdr:blipFill>
        <a:blip r:embed="rId20">
          <a:extLst>
            <a:ext uri="{28A0092B-C50C-407E-A947-70E740481C1C}">
              <a14:useLocalDpi xmlns:a14="http://schemas.microsoft.com/office/drawing/2010/main" val="0"/>
            </a:ext>
          </a:extLst>
        </a:blip>
        <a:stretch>
          <a:fillRect/>
        </a:stretch>
      </xdr:blipFill>
      <xdr:spPr>
        <a:xfrm>
          <a:off x="4968875" y="20631785"/>
          <a:ext cx="1105535" cy="604520"/>
        </a:xfrm>
        <a:prstGeom prst="rect">
          <a:avLst/>
        </a:prstGeom>
      </xdr:spPr>
    </xdr:pic>
    <xdr:clientData/>
  </xdr:twoCellAnchor>
  <xdr:twoCellAnchor>
    <xdr:from>
      <xdr:col>4</xdr:col>
      <xdr:colOff>103608</xdr:colOff>
      <xdr:row>23</xdr:row>
      <xdr:rowOff>256225</xdr:rowOff>
    </xdr:from>
    <xdr:to>
      <xdr:col>4</xdr:col>
      <xdr:colOff>1229544</xdr:colOff>
      <xdr:row>23</xdr:row>
      <xdr:rowOff>866774</xdr:rowOff>
    </xdr:to>
    <xdr:pic>
      <xdr:nvPicPr>
        <xdr:cNvPr id="22" name="image21.jpeg"/>
        <xdr:cNvPicPr>
          <a:picLocks noChangeAspect="1"/>
        </xdr:cNvPicPr>
      </xdr:nvPicPr>
      <xdr:blipFill>
        <a:blip r:embed="rId21">
          <a:extLst>
            <a:ext uri="{28A0092B-C50C-407E-A947-70E740481C1C}">
              <a14:useLocalDpi xmlns:a14="http://schemas.microsoft.com/office/drawing/2010/main" val="0"/>
            </a:ext>
          </a:extLst>
        </a:blip>
        <a:stretch>
          <a:fillRect/>
        </a:stretch>
      </xdr:blipFill>
      <xdr:spPr>
        <a:xfrm>
          <a:off x="4972685" y="21663025"/>
          <a:ext cx="1125855" cy="610235"/>
        </a:xfrm>
        <a:prstGeom prst="rect">
          <a:avLst/>
        </a:prstGeom>
      </xdr:spPr>
    </xdr:pic>
    <xdr:clientData/>
  </xdr:twoCellAnchor>
  <xdr:twoCellAnchor>
    <xdr:from>
      <xdr:col>4</xdr:col>
      <xdr:colOff>16128</xdr:colOff>
      <xdr:row>24</xdr:row>
      <xdr:rowOff>71398</xdr:rowOff>
    </xdr:from>
    <xdr:to>
      <xdr:col>4</xdr:col>
      <xdr:colOff>1228980</xdr:colOff>
      <xdr:row>24</xdr:row>
      <xdr:rowOff>704850</xdr:rowOff>
    </xdr:to>
    <xdr:pic>
      <xdr:nvPicPr>
        <xdr:cNvPr id="23" name="image22.jpeg"/>
        <xdr:cNvPicPr>
          <a:picLocks noChangeAspect="1"/>
        </xdr:cNvPicPr>
      </xdr:nvPicPr>
      <xdr:blipFill>
        <a:blip r:embed="rId22">
          <a:extLst>
            <a:ext uri="{28A0092B-C50C-407E-A947-70E740481C1C}">
              <a14:useLocalDpi xmlns:a14="http://schemas.microsoft.com/office/drawing/2010/main" val="0"/>
            </a:ext>
          </a:extLst>
        </a:blip>
        <a:stretch>
          <a:fillRect/>
        </a:stretch>
      </xdr:blipFill>
      <xdr:spPr>
        <a:xfrm>
          <a:off x="4885055" y="22496145"/>
          <a:ext cx="1212850" cy="633730"/>
        </a:xfrm>
        <a:prstGeom prst="rect">
          <a:avLst/>
        </a:prstGeom>
      </xdr:spPr>
    </xdr:pic>
    <xdr:clientData/>
  </xdr:twoCellAnchor>
  <xdr:twoCellAnchor>
    <xdr:from>
      <xdr:col>4</xdr:col>
      <xdr:colOff>31114</xdr:colOff>
      <xdr:row>25</xdr:row>
      <xdr:rowOff>66941</xdr:rowOff>
    </xdr:from>
    <xdr:to>
      <xdr:col>4</xdr:col>
      <xdr:colOff>1221167</xdr:colOff>
      <xdr:row>25</xdr:row>
      <xdr:rowOff>771524</xdr:rowOff>
    </xdr:to>
    <xdr:pic>
      <xdr:nvPicPr>
        <xdr:cNvPr id="24" name="image23.jpeg"/>
        <xdr:cNvPicPr>
          <a:picLocks noChangeAspect="1"/>
        </xdr:cNvPicPr>
      </xdr:nvPicPr>
      <xdr:blipFill>
        <a:blip r:embed="rId23">
          <a:extLst>
            <a:ext uri="{28A0092B-C50C-407E-A947-70E740481C1C}">
              <a14:useLocalDpi xmlns:a14="http://schemas.microsoft.com/office/drawing/2010/main" val="0"/>
            </a:ext>
          </a:extLst>
        </a:blip>
        <a:stretch>
          <a:fillRect/>
        </a:stretch>
      </xdr:blipFill>
      <xdr:spPr>
        <a:xfrm>
          <a:off x="4899660" y="23509605"/>
          <a:ext cx="1190625" cy="704215"/>
        </a:xfrm>
        <a:prstGeom prst="rect">
          <a:avLst/>
        </a:prstGeom>
      </xdr:spPr>
    </xdr:pic>
    <xdr:clientData/>
  </xdr:twoCellAnchor>
  <xdr:twoCellAnchor>
    <xdr:from>
      <xdr:col>4</xdr:col>
      <xdr:colOff>104266</xdr:colOff>
      <xdr:row>26</xdr:row>
      <xdr:rowOff>102959</xdr:rowOff>
    </xdr:from>
    <xdr:to>
      <xdr:col>4</xdr:col>
      <xdr:colOff>1178510</xdr:colOff>
      <xdr:row>26</xdr:row>
      <xdr:rowOff>847725</xdr:rowOff>
    </xdr:to>
    <xdr:pic>
      <xdr:nvPicPr>
        <xdr:cNvPr id="25" name="image24.jpeg"/>
        <xdr:cNvPicPr>
          <a:picLocks noChangeAspect="1"/>
        </xdr:cNvPicPr>
      </xdr:nvPicPr>
      <xdr:blipFill>
        <a:blip r:embed="rId24">
          <a:extLst>
            <a:ext uri="{28A0092B-C50C-407E-A947-70E740481C1C}">
              <a14:useLocalDpi xmlns:a14="http://schemas.microsoft.com/office/drawing/2010/main" val="0"/>
            </a:ext>
          </a:extLst>
        </a:blip>
        <a:stretch>
          <a:fillRect/>
        </a:stretch>
      </xdr:blipFill>
      <xdr:spPr>
        <a:xfrm>
          <a:off x="4973320" y="24563705"/>
          <a:ext cx="1073785" cy="744855"/>
        </a:xfrm>
        <a:prstGeom prst="rect">
          <a:avLst/>
        </a:prstGeom>
      </xdr:spPr>
    </xdr:pic>
    <xdr:clientData/>
  </xdr:twoCellAnchor>
  <xdr:twoCellAnchor>
    <xdr:from>
      <xdr:col>4</xdr:col>
      <xdr:colOff>125658</xdr:colOff>
      <xdr:row>27</xdr:row>
      <xdr:rowOff>65601</xdr:rowOff>
    </xdr:from>
    <xdr:to>
      <xdr:col>4</xdr:col>
      <xdr:colOff>1192090</xdr:colOff>
      <xdr:row>27</xdr:row>
      <xdr:rowOff>828674</xdr:rowOff>
    </xdr:to>
    <xdr:pic>
      <xdr:nvPicPr>
        <xdr:cNvPr id="26" name="image25.jpeg"/>
        <xdr:cNvPicPr>
          <a:picLocks noChangeAspect="1"/>
        </xdr:cNvPicPr>
      </xdr:nvPicPr>
      <xdr:blipFill>
        <a:blip r:embed="rId25">
          <a:extLst>
            <a:ext uri="{28A0092B-C50C-407E-A947-70E740481C1C}">
              <a14:useLocalDpi xmlns:a14="http://schemas.microsoft.com/office/drawing/2010/main" val="0"/>
            </a:ext>
          </a:extLst>
        </a:blip>
        <a:stretch>
          <a:fillRect/>
        </a:stretch>
      </xdr:blipFill>
      <xdr:spPr>
        <a:xfrm>
          <a:off x="4994275" y="25544145"/>
          <a:ext cx="1066800" cy="762635"/>
        </a:xfrm>
        <a:prstGeom prst="rect">
          <a:avLst/>
        </a:prstGeom>
      </xdr:spPr>
    </xdr:pic>
    <xdr:clientData/>
  </xdr:twoCellAnchor>
  <xdr:twoCellAnchor>
    <xdr:from>
      <xdr:col>4</xdr:col>
      <xdr:colOff>130603</xdr:colOff>
      <xdr:row>28</xdr:row>
      <xdr:rowOff>165011</xdr:rowOff>
    </xdr:from>
    <xdr:to>
      <xdr:col>4</xdr:col>
      <xdr:colOff>1213939</xdr:colOff>
      <xdr:row>28</xdr:row>
      <xdr:rowOff>828675</xdr:rowOff>
    </xdr:to>
    <xdr:pic>
      <xdr:nvPicPr>
        <xdr:cNvPr id="27" name="image26.jpeg"/>
        <xdr:cNvPicPr>
          <a:picLocks noChangeAspect="1"/>
        </xdr:cNvPicPr>
      </xdr:nvPicPr>
      <xdr:blipFill>
        <a:blip r:embed="rId26">
          <a:extLst>
            <a:ext uri="{28A0092B-C50C-407E-A947-70E740481C1C}">
              <a14:useLocalDpi xmlns:a14="http://schemas.microsoft.com/office/drawing/2010/main" val="0"/>
            </a:ext>
          </a:extLst>
        </a:blip>
        <a:stretch>
          <a:fillRect/>
        </a:stretch>
      </xdr:blipFill>
      <xdr:spPr>
        <a:xfrm>
          <a:off x="4999355" y="26661110"/>
          <a:ext cx="1083310" cy="664210"/>
        </a:xfrm>
        <a:prstGeom prst="rect">
          <a:avLst/>
        </a:prstGeom>
      </xdr:spPr>
    </xdr:pic>
    <xdr:clientData/>
  </xdr:twoCellAnchor>
  <xdr:twoCellAnchor>
    <xdr:from>
      <xdr:col>4</xdr:col>
      <xdr:colOff>89749</xdr:colOff>
      <xdr:row>29</xdr:row>
      <xdr:rowOff>221346</xdr:rowOff>
    </xdr:from>
    <xdr:to>
      <xdr:col>4</xdr:col>
      <xdr:colOff>1192657</xdr:colOff>
      <xdr:row>29</xdr:row>
      <xdr:rowOff>847725</xdr:rowOff>
    </xdr:to>
    <xdr:pic>
      <xdr:nvPicPr>
        <xdr:cNvPr id="28" name="image27.jpeg"/>
        <xdr:cNvPicPr>
          <a:picLocks noChangeAspect="1"/>
        </xdr:cNvPicPr>
      </xdr:nvPicPr>
      <xdr:blipFill>
        <a:blip r:embed="rId27">
          <a:extLst>
            <a:ext uri="{28A0092B-C50C-407E-A947-70E740481C1C}">
              <a14:useLocalDpi xmlns:a14="http://schemas.microsoft.com/office/drawing/2010/main" val="0"/>
            </a:ext>
          </a:extLst>
        </a:blip>
        <a:stretch>
          <a:fillRect/>
        </a:stretch>
      </xdr:blipFill>
      <xdr:spPr>
        <a:xfrm>
          <a:off x="4958715" y="27735530"/>
          <a:ext cx="1102995" cy="626745"/>
        </a:xfrm>
        <a:prstGeom prst="rect">
          <a:avLst/>
        </a:prstGeom>
      </xdr:spPr>
    </xdr:pic>
    <xdr:clientData/>
  </xdr:twoCellAnchor>
  <xdr:twoCellAnchor>
    <xdr:from>
      <xdr:col>4</xdr:col>
      <xdr:colOff>48133</xdr:colOff>
      <xdr:row>30</xdr:row>
      <xdr:rowOff>144804</xdr:rowOff>
    </xdr:from>
    <xdr:to>
      <xdr:col>4</xdr:col>
      <xdr:colOff>1209675</xdr:colOff>
      <xdr:row>30</xdr:row>
      <xdr:rowOff>762829</xdr:rowOff>
    </xdr:to>
    <xdr:pic>
      <xdr:nvPicPr>
        <xdr:cNvPr id="29" name="image28.jpeg"/>
        <xdr:cNvPicPr>
          <a:picLocks noChangeAspect="1"/>
        </xdr:cNvPicPr>
      </xdr:nvPicPr>
      <xdr:blipFill>
        <a:blip r:embed="rId28">
          <a:extLst>
            <a:ext uri="{28A0092B-C50C-407E-A947-70E740481C1C}">
              <a14:useLocalDpi xmlns:a14="http://schemas.microsoft.com/office/drawing/2010/main" val="0"/>
            </a:ext>
          </a:extLst>
        </a:blip>
        <a:stretch>
          <a:fillRect/>
        </a:stretch>
      </xdr:blipFill>
      <xdr:spPr>
        <a:xfrm>
          <a:off x="4916805" y="28677235"/>
          <a:ext cx="1162050" cy="617855"/>
        </a:xfrm>
        <a:prstGeom prst="rect">
          <a:avLst/>
        </a:prstGeom>
      </xdr:spPr>
    </xdr:pic>
    <xdr:clientData/>
  </xdr:twoCellAnchor>
  <xdr:twoCellAnchor>
    <xdr:from>
      <xdr:col>4</xdr:col>
      <xdr:colOff>251839</xdr:colOff>
      <xdr:row>33</xdr:row>
      <xdr:rowOff>43471</xdr:rowOff>
    </xdr:from>
    <xdr:to>
      <xdr:col>4</xdr:col>
      <xdr:colOff>1019174</xdr:colOff>
      <xdr:row>33</xdr:row>
      <xdr:rowOff>972452</xdr:rowOff>
    </xdr:to>
    <xdr:pic>
      <xdr:nvPicPr>
        <xdr:cNvPr id="30" name="image29.jpeg"/>
        <xdr:cNvPicPr>
          <a:picLocks noChangeAspect="1"/>
        </xdr:cNvPicPr>
      </xdr:nvPicPr>
      <xdr:blipFill>
        <a:blip r:embed="rId29">
          <a:extLst>
            <a:ext uri="{28A0092B-C50C-407E-A947-70E740481C1C}">
              <a14:useLocalDpi xmlns:a14="http://schemas.microsoft.com/office/drawing/2010/main" val="0"/>
            </a:ext>
          </a:extLst>
        </a:blip>
        <a:stretch>
          <a:fillRect/>
        </a:stretch>
      </xdr:blipFill>
      <xdr:spPr>
        <a:xfrm>
          <a:off x="5120640" y="31248350"/>
          <a:ext cx="767080" cy="929005"/>
        </a:xfrm>
        <a:prstGeom prst="rect">
          <a:avLst/>
        </a:prstGeom>
      </xdr:spPr>
    </xdr:pic>
    <xdr:clientData/>
  </xdr:twoCellAnchor>
  <xdr:twoCellAnchor>
    <xdr:from>
      <xdr:col>4</xdr:col>
      <xdr:colOff>276223</xdr:colOff>
      <xdr:row>35</xdr:row>
      <xdr:rowOff>59271</xdr:rowOff>
    </xdr:from>
    <xdr:to>
      <xdr:col>4</xdr:col>
      <xdr:colOff>1023672</xdr:colOff>
      <xdr:row>35</xdr:row>
      <xdr:rowOff>933450</xdr:rowOff>
    </xdr:to>
    <xdr:pic>
      <xdr:nvPicPr>
        <xdr:cNvPr id="31" name="image30.jpeg"/>
        <xdr:cNvPicPr>
          <a:picLocks noChangeAspect="1"/>
        </xdr:cNvPicPr>
      </xdr:nvPicPr>
      <xdr:blipFill>
        <a:blip r:embed="rId30">
          <a:extLst>
            <a:ext uri="{28A0092B-C50C-407E-A947-70E740481C1C}">
              <a14:useLocalDpi xmlns:a14="http://schemas.microsoft.com/office/drawing/2010/main" val="0"/>
            </a:ext>
          </a:extLst>
        </a:blip>
        <a:stretch>
          <a:fillRect/>
        </a:stretch>
      </xdr:blipFill>
      <xdr:spPr>
        <a:xfrm>
          <a:off x="5144770" y="33300035"/>
          <a:ext cx="748030" cy="874395"/>
        </a:xfrm>
        <a:prstGeom prst="rect">
          <a:avLst/>
        </a:prstGeom>
      </xdr:spPr>
    </xdr:pic>
    <xdr:clientData/>
  </xdr:twoCellAnchor>
  <xdr:twoCellAnchor>
    <xdr:from>
      <xdr:col>4</xdr:col>
      <xdr:colOff>49148</xdr:colOff>
      <xdr:row>41</xdr:row>
      <xdr:rowOff>109042</xdr:rowOff>
    </xdr:from>
    <xdr:to>
      <xdr:col>4</xdr:col>
      <xdr:colOff>1219200</xdr:colOff>
      <xdr:row>41</xdr:row>
      <xdr:rowOff>802951</xdr:rowOff>
    </xdr:to>
    <xdr:pic>
      <xdr:nvPicPr>
        <xdr:cNvPr id="32" name="image31.jpeg"/>
        <xdr:cNvPicPr>
          <a:picLocks noChangeAspect="1"/>
        </xdr:cNvPicPr>
      </xdr:nvPicPr>
      <xdr:blipFill>
        <a:blip r:embed="rId31">
          <a:extLst>
            <a:ext uri="{28A0092B-C50C-407E-A947-70E740481C1C}">
              <a14:useLocalDpi xmlns:a14="http://schemas.microsoft.com/office/drawing/2010/main" val="0"/>
            </a:ext>
          </a:extLst>
        </a:blip>
        <a:stretch>
          <a:fillRect/>
        </a:stretch>
      </xdr:blipFill>
      <xdr:spPr>
        <a:xfrm>
          <a:off x="4918075" y="39075995"/>
          <a:ext cx="1170305" cy="694055"/>
        </a:xfrm>
        <a:prstGeom prst="rect">
          <a:avLst/>
        </a:prstGeom>
      </xdr:spPr>
    </xdr:pic>
    <xdr:clientData/>
  </xdr:twoCellAnchor>
  <xdr:twoCellAnchor>
    <xdr:from>
      <xdr:col>4</xdr:col>
      <xdr:colOff>50671</xdr:colOff>
      <xdr:row>42</xdr:row>
      <xdr:rowOff>154938</xdr:rowOff>
    </xdr:from>
    <xdr:to>
      <xdr:col>4</xdr:col>
      <xdr:colOff>1209492</xdr:colOff>
      <xdr:row>42</xdr:row>
      <xdr:rowOff>866775</xdr:rowOff>
    </xdr:to>
    <xdr:pic>
      <xdr:nvPicPr>
        <xdr:cNvPr id="33" name="image32.jpeg"/>
        <xdr:cNvPicPr>
          <a:picLocks noChangeAspect="1"/>
        </xdr:cNvPicPr>
      </xdr:nvPicPr>
      <xdr:blipFill>
        <a:blip r:embed="rId32">
          <a:extLst>
            <a:ext uri="{28A0092B-C50C-407E-A947-70E740481C1C}">
              <a14:useLocalDpi xmlns:a14="http://schemas.microsoft.com/office/drawing/2010/main" val="0"/>
            </a:ext>
          </a:extLst>
        </a:blip>
        <a:stretch>
          <a:fillRect/>
        </a:stretch>
      </xdr:blipFill>
      <xdr:spPr>
        <a:xfrm>
          <a:off x="4919345" y="40139620"/>
          <a:ext cx="1158875" cy="712470"/>
        </a:xfrm>
        <a:prstGeom prst="rect">
          <a:avLst/>
        </a:prstGeom>
      </xdr:spPr>
    </xdr:pic>
    <xdr:clientData/>
  </xdr:twoCellAnchor>
  <xdr:twoCellAnchor>
    <xdr:from>
      <xdr:col>4</xdr:col>
      <xdr:colOff>231774</xdr:colOff>
      <xdr:row>43</xdr:row>
      <xdr:rowOff>96620</xdr:rowOff>
    </xdr:from>
    <xdr:to>
      <xdr:col>4</xdr:col>
      <xdr:colOff>1143000</xdr:colOff>
      <xdr:row>43</xdr:row>
      <xdr:rowOff>957337</xdr:rowOff>
    </xdr:to>
    <xdr:pic>
      <xdr:nvPicPr>
        <xdr:cNvPr id="34" name="image33.jpeg"/>
        <xdr:cNvPicPr>
          <a:picLocks noChangeAspect="1"/>
        </xdr:cNvPicPr>
      </xdr:nvPicPr>
      <xdr:blipFill>
        <a:blip r:embed="rId33">
          <a:extLst>
            <a:ext uri="{28A0092B-C50C-407E-A947-70E740481C1C}">
              <a14:useLocalDpi xmlns:a14="http://schemas.microsoft.com/office/drawing/2010/main" val="0"/>
            </a:ext>
          </a:extLst>
        </a:blip>
        <a:stretch>
          <a:fillRect/>
        </a:stretch>
      </xdr:blipFill>
      <xdr:spPr>
        <a:xfrm>
          <a:off x="5100320" y="41099740"/>
          <a:ext cx="911860" cy="860425"/>
        </a:xfrm>
        <a:prstGeom prst="rect">
          <a:avLst/>
        </a:prstGeom>
      </xdr:spPr>
    </xdr:pic>
    <xdr:clientData/>
  </xdr:twoCellAnchor>
  <xdr:twoCellAnchor>
    <xdr:from>
      <xdr:col>4</xdr:col>
      <xdr:colOff>35178</xdr:colOff>
      <xdr:row>31</xdr:row>
      <xdr:rowOff>117727</xdr:rowOff>
    </xdr:from>
    <xdr:to>
      <xdr:col>4</xdr:col>
      <xdr:colOff>1249366</xdr:colOff>
      <xdr:row>31</xdr:row>
      <xdr:rowOff>847724</xdr:rowOff>
    </xdr:to>
    <xdr:pic>
      <xdr:nvPicPr>
        <xdr:cNvPr id="35" name="image34.jpeg"/>
        <xdr:cNvPicPr>
          <a:picLocks noChangeAspect="1"/>
        </xdr:cNvPicPr>
      </xdr:nvPicPr>
      <xdr:blipFill>
        <a:blip r:embed="rId34">
          <a:extLst>
            <a:ext uri="{28A0092B-C50C-407E-A947-70E740481C1C}">
              <a14:useLocalDpi xmlns:a14="http://schemas.microsoft.com/office/drawing/2010/main" val="0"/>
            </a:ext>
          </a:extLst>
        </a:blip>
        <a:stretch>
          <a:fillRect/>
        </a:stretch>
      </xdr:blipFill>
      <xdr:spPr>
        <a:xfrm>
          <a:off x="4904105" y="29667835"/>
          <a:ext cx="1214120" cy="729615"/>
        </a:xfrm>
        <a:prstGeom prst="rect">
          <a:avLst/>
        </a:prstGeom>
      </xdr:spPr>
    </xdr:pic>
    <xdr:clientData/>
  </xdr:twoCellAnchor>
  <xdr:twoCellAnchor>
    <xdr:from>
      <xdr:col>4</xdr:col>
      <xdr:colOff>215137</xdr:colOff>
      <xdr:row>34</xdr:row>
      <xdr:rowOff>52984</xdr:rowOff>
    </xdr:from>
    <xdr:to>
      <xdr:col>4</xdr:col>
      <xdr:colOff>1000125</xdr:colOff>
      <xdr:row>34</xdr:row>
      <xdr:rowOff>983152</xdr:rowOff>
    </xdr:to>
    <xdr:pic>
      <xdr:nvPicPr>
        <xdr:cNvPr id="36" name="image35.jpeg"/>
        <xdr:cNvPicPr>
          <a:picLocks noChangeAspect="1"/>
        </xdr:cNvPicPr>
      </xdr:nvPicPr>
      <xdr:blipFill>
        <a:blip r:embed="rId35">
          <a:extLst>
            <a:ext uri="{28A0092B-C50C-407E-A947-70E740481C1C}">
              <a14:useLocalDpi xmlns:a14="http://schemas.microsoft.com/office/drawing/2010/main" val="0"/>
            </a:ext>
          </a:extLst>
        </a:blip>
        <a:stretch>
          <a:fillRect/>
        </a:stretch>
      </xdr:blipFill>
      <xdr:spPr>
        <a:xfrm>
          <a:off x="5083810" y="32275780"/>
          <a:ext cx="785495" cy="930275"/>
        </a:xfrm>
        <a:prstGeom prst="rect">
          <a:avLst/>
        </a:prstGeom>
      </xdr:spPr>
    </xdr:pic>
    <xdr:clientData/>
  </xdr:twoCellAnchor>
  <xdr:twoCellAnchor>
    <xdr:from>
      <xdr:col>4</xdr:col>
      <xdr:colOff>211073</xdr:colOff>
      <xdr:row>36</xdr:row>
      <xdr:rowOff>70585</xdr:rowOff>
    </xdr:from>
    <xdr:to>
      <xdr:col>4</xdr:col>
      <xdr:colOff>1122632</xdr:colOff>
      <xdr:row>36</xdr:row>
      <xdr:rowOff>923924</xdr:rowOff>
    </xdr:to>
    <xdr:pic>
      <xdr:nvPicPr>
        <xdr:cNvPr id="37" name="image36.jpeg"/>
        <xdr:cNvPicPr>
          <a:picLocks noChangeAspect="1"/>
        </xdr:cNvPicPr>
      </xdr:nvPicPr>
      <xdr:blipFill>
        <a:blip r:embed="rId36">
          <a:extLst>
            <a:ext uri="{28A0092B-C50C-407E-A947-70E740481C1C}">
              <a14:useLocalDpi xmlns:a14="http://schemas.microsoft.com/office/drawing/2010/main" val="0"/>
            </a:ext>
          </a:extLst>
        </a:blip>
        <a:stretch>
          <a:fillRect/>
        </a:stretch>
      </xdr:blipFill>
      <xdr:spPr>
        <a:xfrm>
          <a:off x="5080000" y="34329370"/>
          <a:ext cx="911225" cy="852805"/>
        </a:xfrm>
        <a:prstGeom prst="rect">
          <a:avLst/>
        </a:prstGeom>
      </xdr:spPr>
    </xdr:pic>
    <xdr:clientData/>
  </xdr:twoCellAnchor>
  <xdr:twoCellAnchor>
    <xdr:from>
      <xdr:col>4</xdr:col>
      <xdr:colOff>226239</xdr:colOff>
      <xdr:row>37</xdr:row>
      <xdr:rowOff>98545</xdr:rowOff>
    </xdr:from>
    <xdr:to>
      <xdr:col>4</xdr:col>
      <xdr:colOff>1131220</xdr:colOff>
      <xdr:row>37</xdr:row>
      <xdr:rowOff>904875</xdr:rowOff>
    </xdr:to>
    <xdr:pic>
      <xdr:nvPicPr>
        <xdr:cNvPr id="38" name="image37.jpeg"/>
        <xdr:cNvPicPr>
          <a:picLocks noChangeAspect="1"/>
        </xdr:cNvPicPr>
      </xdr:nvPicPr>
      <xdr:blipFill>
        <a:blip r:embed="rId37">
          <a:extLst>
            <a:ext uri="{28A0092B-C50C-407E-A947-70E740481C1C}">
              <a14:useLocalDpi xmlns:a14="http://schemas.microsoft.com/office/drawing/2010/main" val="0"/>
            </a:ext>
          </a:extLst>
        </a:blip>
        <a:stretch>
          <a:fillRect/>
        </a:stretch>
      </xdr:blipFill>
      <xdr:spPr>
        <a:xfrm>
          <a:off x="5095240" y="35375215"/>
          <a:ext cx="904875" cy="806450"/>
        </a:xfrm>
        <a:prstGeom prst="rect">
          <a:avLst/>
        </a:prstGeom>
      </xdr:spPr>
    </xdr:pic>
    <xdr:clientData/>
  </xdr:twoCellAnchor>
  <xdr:twoCellAnchor>
    <xdr:from>
      <xdr:col>4</xdr:col>
      <xdr:colOff>25399</xdr:colOff>
      <xdr:row>38</xdr:row>
      <xdr:rowOff>216572</xdr:rowOff>
    </xdr:from>
    <xdr:to>
      <xdr:col>4</xdr:col>
      <xdr:colOff>1190625</xdr:colOff>
      <xdr:row>38</xdr:row>
      <xdr:rowOff>895350</xdr:rowOff>
    </xdr:to>
    <xdr:pic>
      <xdr:nvPicPr>
        <xdr:cNvPr id="39" name="image38.jpeg"/>
        <xdr:cNvPicPr>
          <a:picLocks noChangeAspect="1"/>
        </xdr:cNvPicPr>
      </xdr:nvPicPr>
      <xdr:blipFill>
        <a:blip r:embed="rId38">
          <a:extLst>
            <a:ext uri="{28A0092B-C50C-407E-A947-70E740481C1C}">
              <a14:useLocalDpi xmlns:a14="http://schemas.microsoft.com/office/drawing/2010/main" val="0"/>
            </a:ext>
          </a:extLst>
        </a:blip>
        <a:stretch>
          <a:fillRect/>
        </a:stretch>
      </xdr:blipFill>
      <xdr:spPr>
        <a:xfrm>
          <a:off x="4893945" y="36511230"/>
          <a:ext cx="1165860" cy="678815"/>
        </a:xfrm>
        <a:prstGeom prst="rect">
          <a:avLst/>
        </a:prstGeom>
      </xdr:spPr>
    </xdr:pic>
    <xdr:clientData/>
  </xdr:twoCellAnchor>
  <xdr:twoCellAnchor>
    <xdr:from>
      <xdr:col>4</xdr:col>
      <xdr:colOff>39242</xdr:colOff>
      <xdr:row>39</xdr:row>
      <xdr:rowOff>231482</xdr:rowOff>
    </xdr:from>
    <xdr:to>
      <xdr:col>4</xdr:col>
      <xdr:colOff>1190626</xdr:colOff>
      <xdr:row>39</xdr:row>
      <xdr:rowOff>647700</xdr:rowOff>
    </xdr:to>
    <xdr:pic>
      <xdr:nvPicPr>
        <xdr:cNvPr id="40" name="image39.jpeg"/>
        <xdr:cNvPicPr>
          <a:picLocks noChangeAspect="1"/>
        </xdr:cNvPicPr>
      </xdr:nvPicPr>
      <xdr:blipFill>
        <a:blip r:embed="rId39">
          <a:extLst>
            <a:ext uri="{28A0092B-C50C-407E-A947-70E740481C1C}">
              <a14:useLocalDpi xmlns:a14="http://schemas.microsoft.com/office/drawing/2010/main" val="0"/>
            </a:ext>
          </a:extLst>
        </a:blip>
        <a:stretch>
          <a:fillRect/>
        </a:stretch>
      </xdr:blipFill>
      <xdr:spPr>
        <a:xfrm>
          <a:off x="4907915" y="37543740"/>
          <a:ext cx="1151890" cy="416560"/>
        </a:xfrm>
        <a:prstGeom prst="rect">
          <a:avLst/>
        </a:prstGeom>
      </xdr:spPr>
    </xdr:pic>
    <xdr:clientData/>
  </xdr:twoCellAnchor>
  <xdr:twoCellAnchor>
    <xdr:from>
      <xdr:col>4</xdr:col>
      <xdr:colOff>117347</xdr:colOff>
      <xdr:row>44</xdr:row>
      <xdr:rowOff>94068</xdr:rowOff>
    </xdr:from>
    <xdr:to>
      <xdr:col>4</xdr:col>
      <xdr:colOff>1142328</xdr:colOff>
      <xdr:row>44</xdr:row>
      <xdr:rowOff>857250</xdr:rowOff>
    </xdr:to>
    <xdr:pic>
      <xdr:nvPicPr>
        <xdr:cNvPr id="41" name="image40.jpeg"/>
        <xdr:cNvPicPr>
          <a:picLocks noChangeAspect="1"/>
        </xdr:cNvPicPr>
      </xdr:nvPicPr>
      <xdr:blipFill>
        <a:blip r:embed="rId40">
          <a:extLst>
            <a:ext uri="{28A0092B-C50C-407E-A947-70E740481C1C}">
              <a14:useLocalDpi xmlns:a14="http://schemas.microsoft.com/office/drawing/2010/main" val="0"/>
            </a:ext>
          </a:extLst>
        </a:blip>
        <a:stretch>
          <a:fillRect/>
        </a:stretch>
      </xdr:blipFill>
      <xdr:spPr>
        <a:xfrm>
          <a:off x="4986020" y="42115105"/>
          <a:ext cx="1024890" cy="763270"/>
        </a:xfrm>
        <a:prstGeom prst="rect">
          <a:avLst/>
        </a:prstGeom>
      </xdr:spPr>
    </xdr:pic>
    <xdr:clientData/>
  </xdr:twoCellAnchor>
  <xdr:twoCellAnchor>
    <xdr:from>
      <xdr:col>4</xdr:col>
      <xdr:colOff>48005</xdr:colOff>
      <xdr:row>45</xdr:row>
      <xdr:rowOff>142518</xdr:rowOff>
    </xdr:from>
    <xdr:to>
      <xdr:col>4</xdr:col>
      <xdr:colOff>1126489</xdr:colOff>
      <xdr:row>45</xdr:row>
      <xdr:rowOff>838199</xdr:rowOff>
    </xdr:to>
    <xdr:pic>
      <xdr:nvPicPr>
        <xdr:cNvPr id="42" name="image41.jpeg"/>
        <xdr:cNvPicPr>
          <a:picLocks noChangeAspect="1"/>
        </xdr:cNvPicPr>
      </xdr:nvPicPr>
      <xdr:blipFill>
        <a:blip r:embed="rId41">
          <a:extLst>
            <a:ext uri="{28A0092B-C50C-407E-A947-70E740481C1C}">
              <a14:useLocalDpi xmlns:a14="http://schemas.microsoft.com/office/drawing/2010/main" val="0"/>
            </a:ext>
          </a:extLst>
        </a:blip>
        <a:stretch>
          <a:fillRect/>
        </a:stretch>
      </xdr:blipFill>
      <xdr:spPr>
        <a:xfrm>
          <a:off x="4916805" y="43181270"/>
          <a:ext cx="1078230" cy="695325"/>
        </a:xfrm>
        <a:prstGeom prst="rect">
          <a:avLst/>
        </a:prstGeom>
      </xdr:spPr>
    </xdr:pic>
    <xdr:clientData/>
  </xdr:twoCellAnchor>
  <xdr:twoCellAnchor>
    <xdr:from>
      <xdr:col>4</xdr:col>
      <xdr:colOff>22858</xdr:colOff>
      <xdr:row>46</xdr:row>
      <xdr:rowOff>112572</xdr:rowOff>
    </xdr:from>
    <xdr:to>
      <xdr:col>4</xdr:col>
      <xdr:colOff>1234499</xdr:colOff>
      <xdr:row>46</xdr:row>
      <xdr:rowOff>819150</xdr:rowOff>
    </xdr:to>
    <xdr:pic>
      <xdr:nvPicPr>
        <xdr:cNvPr id="43" name="image42.jpeg"/>
        <xdr:cNvPicPr>
          <a:picLocks noChangeAspect="1"/>
        </xdr:cNvPicPr>
      </xdr:nvPicPr>
      <xdr:blipFill>
        <a:blip r:embed="rId42">
          <a:extLst>
            <a:ext uri="{28A0092B-C50C-407E-A947-70E740481C1C}">
              <a14:useLocalDpi xmlns:a14="http://schemas.microsoft.com/office/drawing/2010/main" val="0"/>
            </a:ext>
          </a:extLst>
        </a:blip>
        <a:stretch>
          <a:fillRect/>
        </a:stretch>
      </xdr:blipFill>
      <xdr:spPr>
        <a:xfrm>
          <a:off x="4891405" y="44169330"/>
          <a:ext cx="1212215" cy="706755"/>
        </a:xfrm>
        <a:prstGeom prst="rect">
          <a:avLst/>
        </a:prstGeom>
      </xdr:spPr>
    </xdr:pic>
    <xdr:clientData/>
  </xdr:twoCellAnchor>
  <xdr:twoCellAnchor>
    <xdr:from>
      <xdr:col>4</xdr:col>
      <xdr:colOff>82802</xdr:colOff>
      <xdr:row>48</xdr:row>
      <xdr:rowOff>104495</xdr:rowOff>
    </xdr:from>
    <xdr:to>
      <xdr:col>4</xdr:col>
      <xdr:colOff>1172685</xdr:colOff>
      <xdr:row>48</xdr:row>
      <xdr:rowOff>847725</xdr:rowOff>
    </xdr:to>
    <xdr:pic>
      <xdr:nvPicPr>
        <xdr:cNvPr id="44" name="image43.jpeg"/>
        <xdr:cNvPicPr>
          <a:picLocks noChangeAspect="1"/>
        </xdr:cNvPicPr>
      </xdr:nvPicPr>
      <xdr:blipFill>
        <a:blip r:embed="rId43">
          <a:extLst>
            <a:ext uri="{28A0092B-C50C-407E-A947-70E740481C1C}">
              <a14:useLocalDpi xmlns:a14="http://schemas.microsoft.com/office/drawing/2010/main" val="0"/>
            </a:ext>
          </a:extLst>
        </a:blip>
        <a:stretch>
          <a:fillRect/>
        </a:stretch>
      </xdr:blipFill>
      <xdr:spPr>
        <a:xfrm>
          <a:off x="4951730" y="45815885"/>
          <a:ext cx="1089660" cy="743585"/>
        </a:xfrm>
        <a:prstGeom prst="rect">
          <a:avLst/>
        </a:prstGeom>
      </xdr:spPr>
    </xdr:pic>
    <xdr:clientData/>
  </xdr:twoCellAnchor>
  <xdr:twoCellAnchor>
    <xdr:from>
      <xdr:col>4</xdr:col>
      <xdr:colOff>146049</xdr:colOff>
      <xdr:row>51</xdr:row>
      <xdr:rowOff>46482</xdr:rowOff>
    </xdr:from>
    <xdr:to>
      <xdr:col>4</xdr:col>
      <xdr:colOff>1164021</xdr:colOff>
      <xdr:row>51</xdr:row>
      <xdr:rowOff>895350</xdr:rowOff>
    </xdr:to>
    <xdr:pic>
      <xdr:nvPicPr>
        <xdr:cNvPr id="45" name="image44.jpeg"/>
        <xdr:cNvPicPr>
          <a:picLocks noChangeAspect="1"/>
        </xdr:cNvPicPr>
      </xdr:nvPicPr>
      <xdr:blipFill>
        <a:blip r:embed="rId44" cstate="print">
          <a:extLst>
            <a:ext uri="{28A0092B-C50C-407E-A947-70E740481C1C}">
              <a14:useLocalDpi xmlns:a14="http://schemas.microsoft.com/office/drawing/2010/main" val="0"/>
            </a:ext>
          </a:extLst>
        </a:blip>
        <a:stretch>
          <a:fillRect/>
        </a:stretch>
      </xdr:blipFill>
      <xdr:spPr>
        <a:xfrm>
          <a:off x="5014595" y="48811815"/>
          <a:ext cx="1018540" cy="848995"/>
        </a:xfrm>
        <a:prstGeom prst="rect">
          <a:avLst/>
        </a:prstGeom>
      </xdr:spPr>
    </xdr:pic>
    <xdr:clientData/>
  </xdr:twoCellAnchor>
  <xdr:twoCellAnchor>
    <xdr:from>
      <xdr:col>4</xdr:col>
      <xdr:colOff>248023</xdr:colOff>
      <xdr:row>56</xdr:row>
      <xdr:rowOff>24643</xdr:rowOff>
    </xdr:from>
    <xdr:to>
      <xdr:col>4</xdr:col>
      <xdr:colOff>1028766</xdr:colOff>
      <xdr:row>56</xdr:row>
      <xdr:rowOff>952500</xdr:rowOff>
    </xdr:to>
    <xdr:pic>
      <xdr:nvPicPr>
        <xdr:cNvPr id="46" name="image45.jpeg"/>
        <xdr:cNvPicPr>
          <a:picLocks noChangeAspect="1"/>
        </xdr:cNvPicPr>
      </xdr:nvPicPr>
      <xdr:blipFill>
        <a:blip r:embed="rId45">
          <a:extLst>
            <a:ext uri="{28A0092B-C50C-407E-A947-70E740481C1C}">
              <a14:useLocalDpi xmlns:a14="http://schemas.microsoft.com/office/drawing/2010/main" val="0"/>
            </a:ext>
          </a:extLst>
        </a:blip>
        <a:stretch>
          <a:fillRect/>
        </a:stretch>
      </xdr:blipFill>
      <xdr:spPr>
        <a:xfrm>
          <a:off x="5116830" y="53498115"/>
          <a:ext cx="781050" cy="928370"/>
        </a:xfrm>
        <a:prstGeom prst="rect">
          <a:avLst/>
        </a:prstGeom>
      </xdr:spPr>
    </xdr:pic>
    <xdr:clientData/>
  </xdr:twoCellAnchor>
  <xdr:twoCellAnchor>
    <xdr:from>
      <xdr:col>4</xdr:col>
      <xdr:colOff>306995</xdr:colOff>
      <xdr:row>55</xdr:row>
      <xdr:rowOff>30770</xdr:rowOff>
    </xdr:from>
    <xdr:to>
      <xdr:col>4</xdr:col>
      <xdr:colOff>851647</xdr:colOff>
      <xdr:row>55</xdr:row>
      <xdr:rowOff>973054</xdr:rowOff>
    </xdr:to>
    <xdr:pic>
      <xdr:nvPicPr>
        <xdr:cNvPr id="47" name="image46.jpeg"/>
        <xdr:cNvPicPr>
          <a:picLocks noChangeAspect="1"/>
        </xdr:cNvPicPr>
      </xdr:nvPicPr>
      <xdr:blipFill>
        <a:blip r:embed="rId46">
          <a:extLst>
            <a:ext uri="{28A0092B-C50C-407E-A947-70E740481C1C}">
              <a14:useLocalDpi xmlns:a14="http://schemas.microsoft.com/office/drawing/2010/main" val="0"/>
            </a:ext>
          </a:extLst>
        </a:blip>
        <a:stretch>
          <a:fillRect/>
        </a:stretch>
      </xdr:blipFill>
      <xdr:spPr>
        <a:xfrm>
          <a:off x="5175885" y="52486560"/>
          <a:ext cx="544830" cy="942340"/>
        </a:xfrm>
        <a:prstGeom prst="rect">
          <a:avLst/>
        </a:prstGeom>
      </xdr:spPr>
    </xdr:pic>
    <xdr:clientData/>
  </xdr:twoCellAnchor>
  <xdr:twoCellAnchor>
    <xdr:from>
      <xdr:col>4</xdr:col>
      <xdr:colOff>83310</xdr:colOff>
      <xdr:row>49</xdr:row>
      <xdr:rowOff>44118</xdr:rowOff>
    </xdr:from>
    <xdr:to>
      <xdr:col>4</xdr:col>
      <xdr:colOff>1163549</xdr:colOff>
      <xdr:row>49</xdr:row>
      <xdr:rowOff>962025</xdr:rowOff>
    </xdr:to>
    <xdr:pic>
      <xdr:nvPicPr>
        <xdr:cNvPr id="48" name="image47.jpeg"/>
        <xdr:cNvPicPr>
          <a:picLocks noChangeAspect="1"/>
        </xdr:cNvPicPr>
      </xdr:nvPicPr>
      <xdr:blipFill>
        <a:blip r:embed="rId47">
          <a:extLst>
            <a:ext uri="{28A0092B-C50C-407E-A947-70E740481C1C}">
              <a14:useLocalDpi xmlns:a14="http://schemas.microsoft.com/office/drawing/2010/main" val="0"/>
            </a:ext>
          </a:extLst>
        </a:blip>
        <a:stretch>
          <a:fillRect/>
        </a:stretch>
      </xdr:blipFill>
      <xdr:spPr>
        <a:xfrm>
          <a:off x="4952365" y="46773465"/>
          <a:ext cx="1080135" cy="918210"/>
        </a:xfrm>
        <a:prstGeom prst="rect">
          <a:avLst/>
        </a:prstGeom>
      </xdr:spPr>
    </xdr:pic>
    <xdr:clientData/>
  </xdr:twoCellAnchor>
  <xdr:twoCellAnchor>
    <xdr:from>
      <xdr:col>4</xdr:col>
      <xdr:colOff>59816</xdr:colOff>
      <xdr:row>50</xdr:row>
      <xdr:rowOff>129134</xdr:rowOff>
    </xdr:from>
    <xdr:to>
      <xdr:col>4</xdr:col>
      <xdr:colOff>1166528</xdr:colOff>
      <xdr:row>50</xdr:row>
      <xdr:rowOff>866775</xdr:rowOff>
    </xdr:to>
    <xdr:pic>
      <xdr:nvPicPr>
        <xdr:cNvPr id="49" name="image48.jpeg"/>
        <xdr:cNvPicPr>
          <a:picLocks noChangeAspect="1"/>
        </xdr:cNvPicPr>
      </xdr:nvPicPr>
      <xdr:blipFill>
        <a:blip r:embed="rId48">
          <a:extLst>
            <a:ext uri="{28A0092B-C50C-407E-A947-70E740481C1C}">
              <a14:useLocalDpi xmlns:a14="http://schemas.microsoft.com/office/drawing/2010/main" val="0"/>
            </a:ext>
          </a:extLst>
        </a:blip>
        <a:stretch>
          <a:fillRect/>
        </a:stretch>
      </xdr:blipFill>
      <xdr:spPr>
        <a:xfrm>
          <a:off x="4928870" y="47876460"/>
          <a:ext cx="1106805" cy="737870"/>
        </a:xfrm>
        <a:prstGeom prst="rect">
          <a:avLst/>
        </a:prstGeom>
      </xdr:spPr>
    </xdr:pic>
    <xdr:clientData/>
  </xdr:twoCellAnchor>
  <xdr:twoCellAnchor>
    <xdr:from>
      <xdr:col>4</xdr:col>
      <xdr:colOff>146430</xdr:colOff>
      <xdr:row>52</xdr:row>
      <xdr:rowOff>61087</xdr:rowOff>
    </xdr:from>
    <xdr:to>
      <xdr:col>4</xdr:col>
      <xdr:colOff>971550</xdr:colOff>
      <xdr:row>52</xdr:row>
      <xdr:rowOff>964695</xdr:rowOff>
    </xdr:to>
    <xdr:pic>
      <xdr:nvPicPr>
        <xdr:cNvPr id="50" name="image49.jpeg"/>
        <xdr:cNvPicPr>
          <a:picLocks noChangeAspect="1"/>
        </xdr:cNvPicPr>
      </xdr:nvPicPr>
      <xdr:blipFill>
        <a:blip r:embed="rId49">
          <a:extLst>
            <a:ext uri="{28A0092B-C50C-407E-A947-70E740481C1C}">
              <a14:useLocalDpi xmlns:a14="http://schemas.microsoft.com/office/drawing/2010/main" val="0"/>
            </a:ext>
          </a:extLst>
        </a:blip>
        <a:stretch>
          <a:fillRect/>
        </a:stretch>
      </xdr:blipFill>
      <xdr:spPr>
        <a:xfrm>
          <a:off x="5015230" y="49844325"/>
          <a:ext cx="825500" cy="903605"/>
        </a:xfrm>
        <a:prstGeom prst="rect">
          <a:avLst/>
        </a:prstGeom>
      </xdr:spPr>
    </xdr:pic>
    <xdr:clientData/>
  </xdr:twoCellAnchor>
  <xdr:twoCellAnchor>
    <xdr:from>
      <xdr:col>4</xdr:col>
      <xdr:colOff>211200</xdr:colOff>
      <xdr:row>53</xdr:row>
      <xdr:rowOff>57011</xdr:rowOff>
    </xdr:from>
    <xdr:to>
      <xdr:col>4</xdr:col>
      <xdr:colOff>992632</xdr:colOff>
      <xdr:row>53</xdr:row>
      <xdr:rowOff>942975</xdr:rowOff>
    </xdr:to>
    <xdr:pic>
      <xdr:nvPicPr>
        <xdr:cNvPr id="51" name="image50.jpeg"/>
        <xdr:cNvPicPr>
          <a:picLocks noChangeAspect="1"/>
        </xdr:cNvPicPr>
      </xdr:nvPicPr>
      <xdr:blipFill>
        <a:blip r:embed="rId50">
          <a:extLst>
            <a:ext uri="{28A0092B-C50C-407E-A947-70E740481C1C}">
              <a14:useLocalDpi xmlns:a14="http://schemas.microsoft.com/office/drawing/2010/main" val="0"/>
            </a:ext>
          </a:extLst>
        </a:blip>
        <a:stretch>
          <a:fillRect/>
        </a:stretch>
      </xdr:blipFill>
      <xdr:spPr>
        <a:xfrm>
          <a:off x="5080000" y="50857785"/>
          <a:ext cx="781685" cy="886460"/>
        </a:xfrm>
        <a:prstGeom prst="rect">
          <a:avLst/>
        </a:prstGeom>
      </xdr:spPr>
    </xdr:pic>
    <xdr:clientData/>
  </xdr:twoCellAnchor>
  <xdr:twoCellAnchor>
    <xdr:from>
      <xdr:col>4</xdr:col>
      <xdr:colOff>423006</xdr:colOff>
      <xdr:row>57</xdr:row>
      <xdr:rowOff>43127</xdr:rowOff>
    </xdr:from>
    <xdr:to>
      <xdr:col>4</xdr:col>
      <xdr:colOff>941294</xdr:colOff>
      <xdr:row>57</xdr:row>
      <xdr:rowOff>965109</xdr:rowOff>
    </xdr:to>
    <xdr:pic>
      <xdr:nvPicPr>
        <xdr:cNvPr id="52" name="image51.jpeg"/>
        <xdr:cNvPicPr>
          <a:picLocks noChangeAspect="1"/>
        </xdr:cNvPicPr>
      </xdr:nvPicPr>
      <xdr:blipFill>
        <a:blip r:embed="rId51">
          <a:extLst>
            <a:ext uri="{28A0092B-C50C-407E-A947-70E740481C1C}">
              <a14:useLocalDpi xmlns:a14="http://schemas.microsoft.com/office/drawing/2010/main" val="0"/>
            </a:ext>
          </a:extLst>
        </a:blip>
        <a:stretch>
          <a:fillRect/>
        </a:stretch>
      </xdr:blipFill>
      <xdr:spPr>
        <a:xfrm>
          <a:off x="5292090" y="54534435"/>
          <a:ext cx="518160" cy="922020"/>
        </a:xfrm>
        <a:prstGeom prst="rect">
          <a:avLst/>
        </a:prstGeom>
      </xdr:spPr>
    </xdr:pic>
    <xdr:clientData/>
  </xdr:twoCellAnchor>
  <xdr:twoCellAnchor>
    <xdr:from>
      <xdr:col>4</xdr:col>
      <xdr:colOff>474501</xdr:colOff>
      <xdr:row>58</xdr:row>
      <xdr:rowOff>29468</xdr:rowOff>
    </xdr:from>
    <xdr:to>
      <xdr:col>4</xdr:col>
      <xdr:colOff>885264</xdr:colOff>
      <xdr:row>58</xdr:row>
      <xdr:rowOff>923394</xdr:rowOff>
    </xdr:to>
    <xdr:pic>
      <xdr:nvPicPr>
        <xdr:cNvPr id="53" name="image52.jpeg"/>
        <xdr:cNvPicPr>
          <a:picLocks noChangeAspect="1"/>
        </xdr:cNvPicPr>
      </xdr:nvPicPr>
      <xdr:blipFill>
        <a:blip r:embed="rId52">
          <a:extLst>
            <a:ext uri="{28A0092B-C50C-407E-A947-70E740481C1C}">
              <a14:useLocalDpi xmlns:a14="http://schemas.microsoft.com/office/drawing/2010/main" val="0"/>
            </a:ext>
          </a:extLst>
        </a:blip>
        <a:stretch>
          <a:fillRect/>
        </a:stretch>
      </xdr:blipFill>
      <xdr:spPr>
        <a:xfrm>
          <a:off x="5343525" y="55539005"/>
          <a:ext cx="410845" cy="894080"/>
        </a:xfrm>
        <a:prstGeom prst="rect">
          <a:avLst/>
        </a:prstGeom>
      </xdr:spPr>
    </xdr:pic>
    <xdr:clientData/>
  </xdr:twoCellAnchor>
  <xdr:twoCellAnchor>
    <xdr:from>
      <xdr:col>4</xdr:col>
      <xdr:colOff>12326</xdr:colOff>
      <xdr:row>60</xdr:row>
      <xdr:rowOff>262695</xdr:rowOff>
    </xdr:from>
    <xdr:to>
      <xdr:col>4</xdr:col>
      <xdr:colOff>1142338</xdr:colOff>
      <xdr:row>60</xdr:row>
      <xdr:rowOff>784412</xdr:rowOff>
    </xdr:to>
    <xdr:pic>
      <xdr:nvPicPr>
        <xdr:cNvPr id="54" name="image53.jpeg"/>
        <xdr:cNvPicPr>
          <a:picLocks noChangeAspect="1"/>
        </xdr:cNvPicPr>
      </xdr:nvPicPr>
      <xdr:blipFill>
        <a:blip r:embed="rId53">
          <a:extLst>
            <a:ext uri="{28A0092B-C50C-407E-A947-70E740481C1C}">
              <a14:useLocalDpi xmlns:a14="http://schemas.microsoft.com/office/drawing/2010/main" val="0"/>
            </a:ext>
          </a:extLst>
        </a:blip>
        <a:stretch>
          <a:fillRect/>
        </a:stretch>
      </xdr:blipFill>
      <xdr:spPr>
        <a:xfrm>
          <a:off x="4881245" y="57426860"/>
          <a:ext cx="1129665" cy="521970"/>
        </a:xfrm>
        <a:prstGeom prst="rect">
          <a:avLst/>
        </a:prstGeom>
      </xdr:spPr>
    </xdr:pic>
    <xdr:clientData/>
  </xdr:twoCellAnchor>
  <xdr:twoCellAnchor>
    <xdr:from>
      <xdr:col>4</xdr:col>
      <xdr:colOff>53264</xdr:colOff>
      <xdr:row>61</xdr:row>
      <xdr:rowOff>215970</xdr:rowOff>
    </xdr:from>
    <xdr:to>
      <xdr:col>4</xdr:col>
      <xdr:colOff>1201450</xdr:colOff>
      <xdr:row>61</xdr:row>
      <xdr:rowOff>818028</xdr:rowOff>
    </xdr:to>
    <xdr:pic>
      <xdr:nvPicPr>
        <xdr:cNvPr id="55" name="image54.jpeg"/>
        <xdr:cNvPicPr>
          <a:picLocks noChangeAspect="1"/>
        </xdr:cNvPicPr>
      </xdr:nvPicPr>
      <xdr:blipFill>
        <a:blip r:embed="rId54">
          <a:extLst>
            <a:ext uri="{28A0092B-C50C-407E-A947-70E740481C1C}">
              <a14:useLocalDpi xmlns:a14="http://schemas.microsoft.com/office/drawing/2010/main" val="0"/>
            </a:ext>
          </a:extLst>
        </a:blip>
        <a:stretch>
          <a:fillRect/>
        </a:stretch>
      </xdr:blipFill>
      <xdr:spPr>
        <a:xfrm>
          <a:off x="4921885" y="58398410"/>
          <a:ext cx="1148715" cy="601980"/>
        </a:xfrm>
        <a:prstGeom prst="rect">
          <a:avLst/>
        </a:prstGeom>
      </xdr:spPr>
    </xdr:pic>
    <xdr:clientData/>
  </xdr:twoCellAnchor>
  <xdr:twoCellAnchor>
    <xdr:from>
      <xdr:col>4</xdr:col>
      <xdr:colOff>23762</xdr:colOff>
      <xdr:row>62</xdr:row>
      <xdr:rowOff>241554</xdr:rowOff>
    </xdr:from>
    <xdr:to>
      <xdr:col>4</xdr:col>
      <xdr:colOff>1205178</xdr:colOff>
      <xdr:row>62</xdr:row>
      <xdr:rowOff>795618</xdr:rowOff>
    </xdr:to>
    <xdr:pic>
      <xdr:nvPicPr>
        <xdr:cNvPr id="56" name="image55.jpeg"/>
        <xdr:cNvPicPr>
          <a:picLocks noChangeAspect="1"/>
        </xdr:cNvPicPr>
      </xdr:nvPicPr>
      <xdr:blipFill>
        <a:blip r:embed="rId55">
          <a:extLst>
            <a:ext uri="{28A0092B-C50C-407E-A947-70E740481C1C}">
              <a14:useLocalDpi xmlns:a14="http://schemas.microsoft.com/office/drawing/2010/main" val="0"/>
            </a:ext>
          </a:extLst>
        </a:blip>
        <a:stretch>
          <a:fillRect/>
        </a:stretch>
      </xdr:blipFill>
      <xdr:spPr>
        <a:xfrm>
          <a:off x="4892675" y="59441715"/>
          <a:ext cx="1181100" cy="553720"/>
        </a:xfrm>
        <a:prstGeom prst="rect">
          <a:avLst/>
        </a:prstGeom>
      </xdr:spPr>
    </xdr:pic>
    <xdr:clientData/>
  </xdr:twoCellAnchor>
  <xdr:twoCellAnchor>
    <xdr:from>
      <xdr:col>4</xdr:col>
      <xdr:colOff>60653</xdr:colOff>
      <xdr:row>66</xdr:row>
      <xdr:rowOff>269455</xdr:rowOff>
    </xdr:from>
    <xdr:to>
      <xdr:col>4</xdr:col>
      <xdr:colOff>1198626</xdr:colOff>
      <xdr:row>66</xdr:row>
      <xdr:rowOff>806823</xdr:rowOff>
    </xdr:to>
    <xdr:pic>
      <xdr:nvPicPr>
        <xdr:cNvPr id="57"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929505" y="63160275"/>
          <a:ext cx="1137920" cy="537210"/>
        </a:xfrm>
        <a:prstGeom prst="rect">
          <a:avLst/>
        </a:prstGeom>
      </xdr:spPr>
    </xdr:pic>
    <xdr:clientData/>
  </xdr:twoCellAnchor>
  <xdr:twoCellAnchor>
    <xdr:from>
      <xdr:col>4</xdr:col>
      <xdr:colOff>76550</xdr:colOff>
      <xdr:row>67</xdr:row>
      <xdr:rowOff>194716</xdr:rowOff>
    </xdr:from>
    <xdr:to>
      <xdr:col>4</xdr:col>
      <xdr:colOff>1208472</xdr:colOff>
      <xdr:row>67</xdr:row>
      <xdr:rowOff>818030</xdr:rowOff>
    </xdr:to>
    <xdr:pic>
      <xdr:nvPicPr>
        <xdr:cNvPr id="58" name="image57.jpeg"/>
        <xdr:cNvPicPr>
          <a:picLocks noChangeAspect="1"/>
        </xdr:cNvPicPr>
      </xdr:nvPicPr>
      <xdr:blipFill>
        <a:blip r:embed="rId57">
          <a:extLst>
            <a:ext uri="{28A0092B-C50C-407E-A947-70E740481C1C}">
              <a14:useLocalDpi xmlns:a14="http://schemas.microsoft.com/office/drawing/2010/main" val="0"/>
            </a:ext>
          </a:extLst>
        </a:blip>
        <a:stretch>
          <a:fillRect/>
        </a:stretch>
      </xdr:blipFill>
      <xdr:spPr>
        <a:xfrm>
          <a:off x="4945380" y="64103250"/>
          <a:ext cx="1132205" cy="623570"/>
        </a:xfrm>
        <a:prstGeom prst="rect">
          <a:avLst/>
        </a:prstGeom>
      </xdr:spPr>
    </xdr:pic>
    <xdr:clientData/>
  </xdr:twoCellAnchor>
  <xdr:twoCellAnchor>
    <xdr:from>
      <xdr:col>4</xdr:col>
      <xdr:colOff>38421</xdr:colOff>
      <xdr:row>68</xdr:row>
      <xdr:rowOff>258728</xdr:rowOff>
    </xdr:from>
    <xdr:to>
      <xdr:col>4</xdr:col>
      <xdr:colOff>1188556</xdr:colOff>
      <xdr:row>68</xdr:row>
      <xdr:rowOff>907675</xdr:rowOff>
    </xdr:to>
    <xdr:pic>
      <xdr:nvPicPr>
        <xdr:cNvPr id="59" name="image58.jpeg"/>
        <xdr:cNvPicPr>
          <a:picLocks noChangeAspect="1"/>
        </xdr:cNvPicPr>
      </xdr:nvPicPr>
      <xdr:blipFill>
        <a:blip r:embed="rId58">
          <a:extLst>
            <a:ext uri="{28A0092B-C50C-407E-A947-70E740481C1C}">
              <a14:useLocalDpi xmlns:a14="http://schemas.microsoft.com/office/drawing/2010/main" val="0"/>
            </a:ext>
          </a:extLst>
        </a:blip>
        <a:stretch>
          <a:fillRect/>
        </a:stretch>
      </xdr:blipFill>
      <xdr:spPr>
        <a:xfrm>
          <a:off x="4907280" y="65185290"/>
          <a:ext cx="1149985" cy="648970"/>
        </a:xfrm>
        <a:prstGeom prst="rect">
          <a:avLst/>
        </a:prstGeom>
      </xdr:spPr>
    </xdr:pic>
    <xdr:clientData/>
  </xdr:twoCellAnchor>
  <xdr:twoCellAnchor>
    <xdr:from>
      <xdr:col>4</xdr:col>
      <xdr:colOff>127744</xdr:colOff>
      <xdr:row>69</xdr:row>
      <xdr:rowOff>205191</xdr:rowOff>
    </xdr:from>
    <xdr:to>
      <xdr:col>4</xdr:col>
      <xdr:colOff>1105885</xdr:colOff>
      <xdr:row>69</xdr:row>
      <xdr:rowOff>862853</xdr:rowOff>
    </xdr:to>
    <xdr:pic>
      <xdr:nvPicPr>
        <xdr:cNvPr id="60" name="image59.jpeg"/>
        <xdr:cNvPicPr>
          <a:picLocks noChangeAspect="1"/>
        </xdr:cNvPicPr>
      </xdr:nvPicPr>
      <xdr:blipFill>
        <a:blip r:embed="rId59">
          <a:extLst>
            <a:ext uri="{28A0092B-C50C-407E-A947-70E740481C1C}">
              <a14:useLocalDpi xmlns:a14="http://schemas.microsoft.com/office/drawing/2010/main" val="0"/>
            </a:ext>
          </a:extLst>
        </a:blip>
        <a:stretch>
          <a:fillRect/>
        </a:stretch>
      </xdr:blipFill>
      <xdr:spPr>
        <a:xfrm>
          <a:off x="4996815" y="66149855"/>
          <a:ext cx="977900" cy="657225"/>
        </a:xfrm>
        <a:prstGeom prst="rect">
          <a:avLst/>
        </a:prstGeom>
      </xdr:spPr>
    </xdr:pic>
    <xdr:clientData/>
  </xdr:twoCellAnchor>
  <xdr:twoCellAnchor>
    <xdr:from>
      <xdr:col>4</xdr:col>
      <xdr:colOff>96416</xdr:colOff>
      <xdr:row>77</xdr:row>
      <xdr:rowOff>791970</xdr:rowOff>
    </xdr:from>
    <xdr:to>
      <xdr:col>4</xdr:col>
      <xdr:colOff>1229254</xdr:colOff>
      <xdr:row>78</xdr:row>
      <xdr:rowOff>242901</xdr:rowOff>
    </xdr:to>
    <xdr:pic>
      <xdr:nvPicPr>
        <xdr:cNvPr id="61" name="image60.jpeg"/>
        <xdr:cNvPicPr>
          <a:picLocks noChangeAspect="1"/>
        </xdr:cNvPicPr>
      </xdr:nvPicPr>
      <xdr:blipFill>
        <a:blip r:embed="rId60">
          <a:extLst>
            <a:ext uri="{28A0092B-C50C-407E-A947-70E740481C1C}">
              <a14:useLocalDpi xmlns:a14="http://schemas.microsoft.com/office/drawing/2010/main" val="0"/>
            </a:ext>
          </a:extLst>
        </a:blip>
        <a:stretch>
          <a:fillRect/>
        </a:stretch>
      </xdr:blipFill>
      <xdr:spPr>
        <a:xfrm>
          <a:off x="4965065" y="74498835"/>
          <a:ext cx="1132840" cy="468630"/>
        </a:xfrm>
        <a:prstGeom prst="rect">
          <a:avLst/>
        </a:prstGeom>
      </xdr:spPr>
    </xdr:pic>
    <xdr:clientData/>
  </xdr:twoCellAnchor>
  <xdr:twoCellAnchor>
    <xdr:from>
      <xdr:col>4</xdr:col>
      <xdr:colOff>270570</xdr:colOff>
      <xdr:row>79</xdr:row>
      <xdr:rowOff>658799</xdr:rowOff>
    </xdr:from>
    <xdr:to>
      <xdr:col>4</xdr:col>
      <xdr:colOff>972486</xdr:colOff>
      <xdr:row>80</xdr:row>
      <xdr:rowOff>168689</xdr:rowOff>
    </xdr:to>
    <xdr:pic>
      <xdr:nvPicPr>
        <xdr:cNvPr id="62" name="image61.jpeg"/>
        <xdr:cNvPicPr>
          <a:picLocks noChangeAspect="1"/>
        </xdr:cNvPicPr>
      </xdr:nvPicPr>
      <xdr:blipFill>
        <a:blip r:embed="rId61">
          <a:extLst>
            <a:ext uri="{28A0092B-C50C-407E-A947-70E740481C1C}">
              <a14:useLocalDpi xmlns:a14="http://schemas.microsoft.com/office/drawing/2010/main" val="0"/>
            </a:ext>
          </a:extLst>
        </a:blip>
        <a:stretch>
          <a:fillRect/>
        </a:stretch>
      </xdr:blipFill>
      <xdr:spPr>
        <a:xfrm>
          <a:off x="5139690" y="76401295"/>
          <a:ext cx="701675" cy="527685"/>
        </a:xfrm>
        <a:prstGeom prst="rect">
          <a:avLst/>
        </a:prstGeom>
      </xdr:spPr>
    </xdr:pic>
    <xdr:clientData/>
  </xdr:twoCellAnchor>
  <xdr:twoCellAnchor>
    <xdr:from>
      <xdr:col>4</xdr:col>
      <xdr:colOff>144188</xdr:colOff>
      <xdr:row>81</xdr:row>
      <xdr:rowOff>675625</xdr:rowOff>
    </xdr:from>
    <xdr:to>
      <xdr:col>4</xdr:col>
      <xdr:colOff>1164384</xdr:colOff>
      <xdr:row>82</xdr:row>
      <xdr:rowOff>324971</xdr:rowOff>
    </xdr:to>
    <xdr:pic>
      <xdr:nvPicPr>
        <xdr:cNvPr id="63" name="image62.jpeg"/>
        <xdr:cNvPicPr>
          <a:picLocks noChangeAspect="1"/>
        </xdr:cNvPicPr>
      </xdr:nvPicPr>
      <xdr:blipFill>
        <a:blip r:embed="rId62">
          <a:extLst>
            <a:ext uri="{28A0092B-C50C-407E-A947-70E740481C1C}">
              <a14:useLocalDpi xmlns:a14="http://schemas.microsoft.com/office/drawing/2010/main" val="0"/>
            </a:ext>
          </a:extLst>
        </a:blip>
        <a:stretch>
          <a:fillRect/>
        </a:stretch>
      </xdr:blipFill>
      <xdr:spPr>
        <a:xfrm>
          <a:off x="5013325" y="78453615"/>
          <a:ext cx="1019810" cy="667385"/>
        </a:xfrm>
        <a:prstGeom prst="rect">
          <a:avLst/>
        </a:prstGeom>
      </xdr:spPr>
    </xdr:pic>
    <xdr:clientData/>
  </xdr:twoCellAnchor>
  <xdr:twoCellAnchor>
    <xdr:from>
      <xdr:col>4</xdr:col>
      <xdr:colOff>91978</xdr:colOff>
      <xdr:row>71</xdr:row>
      <xdr:rowOff>830617</xdr:rowOff>
    </xdr:from>
    <xdr:to>
      <xdr:col>4</xdr:col>
      <xdr:colOff>1110505</xdr:colOff>
      <xdr:row>72</xdr:row>
      <xdr:rowOff>105120</xdr:rowOff>
    </xdr:to>
    <xdr:pic>
      <xdr:nvPicPr>
        <xdr:cNvPr id="64" name="image63.jpeg"/>
        <xdr:cNvPicPr>
          <a:picLocks noChangeAspect="1"/>
        </xdr:cNvPicPr>
      </xdr:nvPicPr>
      <xdr:blipFill>
        <a:blip r:embed="rId63">
          <a:extLst>
            <a:ext uri="{28A0092B-C50C-407E-A947-70E740481C1C}">
              <a14:useLocalDpi xmlns:a14="http://schemas.microsoft.com/office/drawing/2010/main" val="0"/>
            </a:ext>
          </a:extLst>
        </a:blip>
        <a:stretch>
          <a:fillRect/>
        </a:stretch>
      </xdr:blipFill>
      <xdr:spPr>
        <a:xfrm>
          <a:off x="4960620" y="68430140"/>
          <a:ext cx="1018540" cy="292100"/>
        </a:xfrm>
        <a:prstGeom prst="rect">
          <a:avLst/>
        </a:prstGeom>
      </xdr:spPr>
    </xdr:pic>
    <xdr:clientData/>
  </xdr:twoCellAnchor>
  <xdr:twoCellAnchor>
    <xdr:from>
      <xdr:col>4</xdr:col>
      <xdr:colOff>95884</xdr:colOff>
      <xdr:row>73</xdr:row>
      <xdr:rowOff>664695</xdr:rowOff>
    </xdr:from>
    <xdr:to>
      <xdr:col>4</xdr:col>
      <xdr:colOff>1171144</xdr:colOff>
      <xdr:row>73</xdr:row>
      <xdr:rowOff>991183</xdr:rowOff>
    </xdr:to>
    <xdr:pic>
      <xdr:nvPicPr>
        <xdr:cNvPr id="65" name="image64.jpeg"/>
        <xdr:cNvPicPr>
          <a:picLocks noChangeAspect="1"/>
        </xdr:cNvPicPr>
      </xdr:nvPicPr>
      <xdr:blipFill>
        <a:blip r:embed="rId64">
          <a:extLst>
            <a:ext uri="{28A0092B-C50C-407E-A947-70E740481C1C}">
              <a14:useLocalDpi xmlns:a14="http://schemas.microsoft.com/office/drawing/2010/main" val="0"/>
            </a:ext>
          </a:extLst>
        </a:blip>
        <a:stretch>
          <a:fillRect/>
        </a:stretch>
      </xdr:blipFill>
      <xdr:spPr>
        <a:xfrm>
          <a:off x="4964430" y="70299580"/>
          <a:ext cx="1075690" cy="326390"/>
        </a:xfrm>
        <a:prstGeom prst="rect">
          <a:avLst/>
        </a:prstGeom>
      </xdr:spPr>
    </xdr:pic>
    <xdr:clientData/>
  </xdr:twoCellAnchor>
  <xdr:twoCellAnchor>
    <xdr:from>
      <xdr:col>4</xdr:col>
      <xdr:colOff>15829</xdr:colOff>
      <xdr:row>65</xdr:row>
      <xdr:rowOff>235838</xdr:rowOff>
    </xdr:from>
    <xdr:to>
      <xdr:col>4</xdr:col>
      <xdr:colOff>1224992</xdr:colOff>
      <xdr:row>65</xdr:row>
      <xdr:rowOff>806823</xdr:rowOff>
    </xdr:to>
    <xdr:pic>
      <xdr:nvPicPr>
        <xdr:cNvPr id="66"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884420" y="62108715"/>
          <a:ext cx="1209675" cy="570865"/>
        </a:xfrm>
        <a:prstGeom prst="rect">
          <a:avLst/>
        </a:prstGeom>
      </xdr:spPr>
    </xdr:pic>
    <xdr:clientData/>
  </xdr:twoCellAnchor>
  <xdr:twoCellAnchor>
    <xdr:from>
      <xdr:col>4</xdr:col>
      <xdr:colOff>60654</xdr:colOff>
      <xdr:row>64</xdr:row>
      <xdr:rowOff>314532</xdr:rowOff>
    </xdr:from>
    <xdr:to>
      <xdr:col>4</xdr:col>
      <xdr:colOff>1198091</xdr:colOff>
      <xdr:row>64</xdr:row>
      <xdr:rowOff>851647</xdr:rowOff>
    </xdr:to>
    <xdr:pic>
      <xdr:nvPicPr>
        <xdr:cNvPr id="67" name="image56.jpeg"/>
        <xdr:cNvPicPr>
          <a:picLocks noChangeAspect="1"/>
        </xdr:cNvPicPr>
      </xdr:nvPicPr>
      <xdr:blipFill>
        <a:blip r:embed="rId56">
          <a:extLst>
            <a:ext uri="{28A0092B-C50C-407E-A947-70E740481C1C}">
              <a14:useLocalDpi xmlns:a14="http://schemas.microsoft.com/office/drawing/2010/main" val="0"/>
            </a:ext>
          </a:extLst>
        </a:blip>
        <a:stretch>
          <a:fillRect/>
        </a:stretch>
      </xdr:blipFill>
      <xdr:spPr>
        <a:xfrm>
          <a:off x="4929505" y="61169550"/>
          <a:ext cx="1137285" cy="537210"/>
        </a:xfrm>
        <a:prstGeom prst="rect">
          <a:avLst/>
        </a:prstGeom>
      </xdr:spPr>
    </xdr:pic>
    <xdr:clientData/>
  </xdr:twoCellAnchor>
  <xdr:twoCellAnchor>
    <xdr:from>
      <xdr:col>4</xdr:col>
      <xdr:colOff>61222</xdr:colOff>
      <xdr:row>83</xdr:row>
      <xdr:rowOff>648801</xdr:rowOff>
    </xdr:from>
    <xdr:to>
      <xdr:col>4</xdr:col>
      <xdr:colOff>1085230</xdr:colOff>
      <xdr:row>84</xdr:row>
      <xdr:rowOff>358588</xdr:rowOff>
    </xdr:to>
    <xdr:pic>
      <xdr:nvPicPr>
        <xdr:cNvPr id="68" name="image66.jpeg"/>
        <xdr:cNvPicPr>
          <a:picLocks noChangeAspect="1"/>
        </xdr:cNvPicPr>
      </xdr:nvPicPr>
      <xdr:blipFill>
        <a:blip r:embed="rId65">
          <a:extLst>
            <a:ext uri="{28A0092B-C50C-407E-A947-70E740481C1C}">
              <a14:useLocalDpi xmlns:a14="http://schemas.microsoft.com/office/drawing/2010/main" val="0"/>
            </a:ext>
          </a:extLst>
        </a:blip>
        <a:stretch>
          <a:fillRect/>
        </a:stretch>
      </xdr:blipFill>
      <xdr:spPr>
        <a:xfrm>
          <a:off x="4930140" y="80462755"/>
          <a:ext cx="1024255" cy="727710"/>
        </a:xfrm>
        <a:prstGeom prst="rect">
          <a:avLst/>
        </a:prstGeom>
      </xdr:spPr>
    </xdr:pic>
    <xdr:clientData/>
  </xdr:twoCellAnchor>
  <xdr:twoCellAnchor>
    <xdr:from>
      <xdr:col>4</xdr:col>
      <xdr:colOff>40609</xdr:colOff>
      <xdr:row>85</xdr:row>
      <xdr:rowOff>731360</xdr:rowOff>
    </xdr:from>
    <xdr:to>
      <xdr:col>4</xdr:col>
      <xdr:colOff>1160936</xdr:colOff>
      <xdr:row>86</xdr:row>
      <xdr:rowOff>526677</xdr:rowOff>
    </xdr:to>
    <xdr:pic>
      <xdr:nvPicPr>
        <xdr:cNvPr id="69" name="image67.jpeg"/>
        <xdr:cNvPicPr>
          <a:picLocks noChangeAspect="1"/>
        </xdr:cNvPicPr>
      </xdr:nvPicPr>
      <xdr:blipFill>
        <a:blip r:embed="rId66">
          <a:extLst>
            <a:ext uri="{28A0092B-C50C-407E-A947-70E740481C1C}">
              <a14:useLocalDpi xmlns:a14="http://schemas.microsoft.com/office/drawing/2010/main" val="0"/>
            </a:ext>
          </a:extLst>
        </a:blip>
        <a:stretch>
          <a:fillRect/>
        </a:stretch>
      </xdr:blipFill>
      <xdr:spPr>
        <a:xfrm>
          <a:off x="4909185" y="82581115"/>
          <a:ext cx="1120775" cy="813435"/>
        </a:xfrm>
        <a:prstGeom prst="rect">
          <a:avLst/>
        </a:prstGeom>
      </xdr:spPr>
    </xdr:pic>
    <xdr:clientData/>
  </xdr:twoCellAnchor>
  <xdr:twoCellAnchor>
    <xdr:from>
      <xdr:col>4</xdr:col>
      <xdr:colOff>378496</xdr:colOff>
      <xdr:row>91</xdr:row>
      <xdr:rowOff>39598</xdr:rowOff>
    </xdr:from>
    <xdr:to>
      <xdr:col>4</xdr:col>
      <xdr:colOff>974912</xdr:colOff>
      <xdr:row>91</xdr:row>
      <xdr:rowOff>990624</xdr:rowOff>
    </xdr:to>
    <xdr:pic>
      <xdr:nvPicPr>
        <xdr:cNvPr id="70" name="image68.jpeg"/>
        <xdr:cNvPicPr>
          <a:picLocks noChangeAspect="1"/>
        </xdr:cNvPicPr>
      </xdr:nvPicPr>
      <xdr:blipFill>
        <a:blip r:embed="rId67">
          <a:extLst>
            <a:ext uri="{28A0092B-C50C-407E-A947-70E740481C1C}">
              <a14:useLocalDpi xmlns:a14="http://schemas.microsoft.com/office/drawing/2010/main" val="0"/>
            </a:ext>
          </a:extLst>
        </a:blip>
        <a:stretch>
          <a:fillRect/>
        </a:stretch>
      </xdr:blipFill>
      <xdr:spPr>
        <a:xfrm>
          <a:off x="5247640" y="87235030"/>
          <a:ext cx="596265" cy="951230"/>
        </a:xfrm>
        <a:prstGeom prst="rect">
          <a:avLst/>
        </a:prstGeom>
      </xdr:spPr>
    </xdr:pic>
    <xdr:clientData/>
  </xdr:twoCellAnchor>
  <xdr:twoCellAnchor>
    <xdr:from>
      <xdr:col>4</xdr:col>
      <xdr:colOff>419719</xdr:colOff>
      <xdr:row>92</xdr:row>
      <xdr:rowOff>55431</xdr:rowOff>
    </xdr:from>
    <xdr:to>
      <xdr:col>4</xdr:col>
      <xdr:colOff>1008529</xdr:colOff>
      <xdr:row>92</xdr:row>
      <xdr:rowOff>983934</xdr:rowOff>
    </xdr:to>
    <xdr:pic>
      <xdr:nvPicPr>
        <xdr:cNvPr id="71" name="image69.jpeg"/>
        <xdr:cNvPicPr>
          <a:picLocks noChangeAspect="1"/>
        </xdr:cNvPicPr>
      </xdr:nvPicPr>
      <xdr:blipFill>
        <a:blip r:embed="rId68">
          <a:extLst>
            <a:ext uri="{28A0092B-C50C-407E-A947-70E740481C1C}">
              <a14:useLocalDpi xmlns:a14="http://schemas.microsoft.com/office/drawing/2010/main" val="0"/>
            </a:ext>
          </a:extLst>
        </a:blip>
        <a:stretch>
          <a:fillRect/>
        </a:stretch>
      </xdr:blipFill>
      <xdr:spPr>
        <a:xfrm>
          <a:off x="5288280" y="88268810"/>
          <a:ext cx="589280" cy="928370"/>
        </a:xfrm>
        <a:prstGeom prst="rect">
          <a:avLst/>
        </a:prstGeom>
      </xdr:spPr>
    </xdr:pic>
    <xdr:clientData/>
  </xdr:twoCellAnchor>
  <xdr:twoCellAnchor>
    <xdr:from>
      <xdr:col>4</xdr:col>
      <xdr:colOff>439553</xdr:colOff>
      <xdr:row>93</xdr:row>
      <xdr:rowOff>57334</xdr:rowOff>
    </xdr:from>
    <xdr:to>
      <xdr:col>4</xdr:col>
      <xdr:colOff>1008529</xdr:colOff>
      <xdr:row>93</xdr:row>
      <xdr:rowOff>961161</xdr:rowOff>
    </xdr:to>
    <xdr:pic>
      <xdr:nvPicPr>
        <xdr:cNvPr id="72" name="image70.jpeg"/>
        <xdr:cNvPicPr>
          <a:picLocks noChangeAspect="1"/>
        </xdr:cNvPicPr>
      </xdr:nvPicPr>
      <xdr:blipFill>
        <a:blip r:embed="rId69">
          <a:extLst>
            <a:ext uri="{28A0092B-C50C-407E-A947-70E740481C1C}">
              <a14:useLocalDpi xmlns:a14="http://schemas.microsoft.com/office/drawing/2010/main" val="0"/>
            </a:ext>
          </a:extLst>
        </a:blip>
        <a:stretch>
          <a:fillRect/>
        </a:stretch>
      </xdr:blipFill>
      <xdr:spPr>
        <a:xfrm>
          <a:off x="5308600" y="89288620"/>
          <a:ext cx="568960" cy="903605"/>
        </a:xfrm>
        <a:prstGeom prst="rect">
          <a:avLst/>
        </a:prstGeom>
      </xdr:spPr>
    </xdr:pic>
    <xdr:clientData/>
  </xdr:twoCellAnchor>
  <xdr:twoCellAnchor>
    <xdr:from>
      <xdr:col>4</xdr:col>
      <xdr:colOff>431344</xdr:colOff>
      <xdr:row>94</xdr:row>
      <xdr:rowOff>35237</xdr:rowOff>
    </xdr:from>
    <xdr:to>
      <xdr:col>4</xdr:col>
      <xdr:colOff>997323</xdr:colOff>
      <xdr:row>94</xdr:row>
      <xdr:rowOff>973826</xdr:rowOff>
    </xdr:to>
    <xdr:pic>
      <xdr:nvPicPr>
        <xdr:cNvPr id="73" name="image71.jpeg"/>
        <xdr:cNvPicPr>
          <a:picLocks noChangeAspect="1"/>
        </xdr:cNvPicPr>
      </xdr:nvPicPr>
      <xdr:blipFill>
        <a:blip r:embed="rId70">
          <a:extLst>
            <a:ext uri="{28A0092B-C50C-407E-A947-70E740481C1C}">
              <a14:useLocalDpi xmlns:a14="http://schemas.microsoft.com/office/drawing/2010/main" val="0"/>
            </a:ext>
          </a:extLst>
        </a:blip>
        <a:stretch>
          <a:fillRect/>
        </a:stretch>
      </xdr:blipFill>
      <xdr:spPr>
        <a:xfrm>
          <a:off x="5300345" y="90284300"/>
          <a:ext cx="565785" cy="938530"/>
        </a:xfrm>
        <a:prstGeom prst="rect">
          <a:avLst/>
        </a:prstGeom>
      </xdr:spPr>
    </xdr:pic>
    <xdr:clientData/>
  </xdr:twoCellAnchor>
  <xdr:twoCellAnchor>
    <xdr:from>
      <xdr:col>4</xdr:col>
      <xdr:colOff>456025</xdr:colOff>
      <xdr:row>95</xdr:row>
      <xdr:rowOff>105721</xdr:rowOff>
    </xdr:from>
    <xdr:to>
      <xdr:col>4</xdr:col>
      <xdr:colOff>974070</xdr:colOff>
      <xdr:row>95</xdr:row>
      <xdr:rowOff>952500</xdr:rowOff>
    </xdr:to>
    <xdr:pic>
      <xdr:nvPicPr>
        <xdr:cNvPr id="74" name="image72.jpeg"/>
        <xdr:cNvPicPr>
          <a:picLocks noChangeAspect="1"/>
        </xdr:cNvPicPr>
      </xdr:nvPicPr>
      <xdr:blipFill>
        <a:blip r:embed="rId71">
          <a:extLst>
            <a:ext uri="{28A0092B-C50C-407E-A947-70E740481C1C}">
              <a14:useLocalDpi xmlns:a14="http://schemas.microsoft.com/office/drawing/2010/main" val="0"/>
            </a:ext>
          </a:extLst>
        </a:blip>
        <a:stretch>
          <a:fillRect/>
        </a:stretch>
      </xdr:blipFill>
      <xdr:spPr>
        <a:xfrm>
          <a:off x="5325110" y="91372690"/>
          <a:ext cx="517525" cy="847090"/>
        </a:xfrm>
        <a:prstGeom prst="rect">
          <a:avLst/>
        </a:prstGeom>
      </xdr:spPr>
    </xdr:pic>
    <xdr:clientData/>
  </xdr:twoCellAnchor>
  <xdr:twoCellAnchor>
    <xdr:from>
      <xdr:col>4</xdr:col>
      <xdr:colOff>490685</xdr:colOff>
      <xdr:row>96</xdr:row>
      <xdr:rowOff>61666</xdr:rowOff>
    </xdr:from>
    <xdr:to>
      <xdr:col>4</xdr:col>
      <xdr:colOff>999751</xdr:colOff>
      <xdr:row>96</xdr:row>
      <xdr:rowOff>941293</xdr:rowOff>
    </xdr:to>
    <xdr:pic>
      <xdr:nvPicPr>
        <xdr:cNvPr id="75" name="image73.jpeg"/>
        <xdr:cNvPicPr>
          <a:picLocks noChangeAspect="1"/>
        </xdr:cNvPicPr>
      </xdr:nvPicPr>
      <xdr:blipFill>
        <a:blip r:embed="rId72">
          <a:extLst>
            <a:ext uri="{28A0092B-C50C-407E-A947-70E740481C1C}">
              <a14:useLocalDpi xmlns:a14="http://schemas.microsoft.com/office/drawing/2010/main" val="0"/>
            </a:ext>
          </a:extLst>
        </a:blip>
        <a:stretch>
          <a:fillRect/>
        </a:stretch>
      </xdr:blipFill>
      <xdr:spPr>
        <a:xfrm>
          <a:off x="5359400" y="92346780"/>
          <a:ext cx="509270" cy="879475"/>
        </a:xfrm>
        <a:prstGeom prst="rect">
          <a:avLst/>
        </a:prstGeom>
      </xdr:spPr>
    </xdr:pic>
    <xdr:clientData/>
  </xdr:twoCellAnchor>
  <xdr:twoCellAnchor>
    <xdr:from>
      <xdr:col>4</xdr:col>
      <xdr:colOff>476797</xdr:colOff>
      <xdr:row>97</xdr:row>
      <xdr:rowOff>79266</xdr:rowOff>
    </xdr:from>
    <xdr:to>
      <xdr:col>4</xdr:col>
      <xdr:colOff>1030941</xdr:colOff>
      <xdr:row>97</xdr:row>
      <xdr:rowOff>991582</xdr:rowOff>
    </xdr:to>
    <xdr:pic>
      <xdr:nvPicPr>
        <xdr:cNvPr id="76" name="image74.jpeg"/>
        <xdr:cNvPicPr>
          <a:picLocks noChangeAspect="1"/>
        </xdr:cNvPicPr>
      </xdr:nvPicPr>
      <xdr:blipFill>
        <a:blip r:embed="rId73">
          <a:extLst>
            <a:ext uri="{28A0092B-C50C-407E-A947-70E740481C1C}">
              <a14:useLocalDpi xmlns:a14="http://schemas.microsoft.com/office/drawing/2010/main" val="0"/>
            </a:ext>
          </a:extLst>
        </a:blip>
        <a:stretch>
          <a:fillRect/>
        </a:stretch>
      </xdr:blipFill>
      <xdr:spPr>
        <a:xfrm>
          <a:off x="5345430" y="93381830"/>
          <a:ext cx="554355" cy="912495"/>
        </a:xfrm>
        <a:prstGeom prst="rect">
          <a:avLst/>
        </a:prstGeom>
      </xdr:spPr>
    </xdr:pic>
    <xdr:clientData/>
  </xdr:twoCellAnchor>
  <xdr:twoCellAnchor>
    <xdr:from>
      <xdr:col>4</xdr:col>
      <xdr:colOff>451357</xdr:colOff>
      <xdr:row>98</xdr:row>
      <xdr:rowOff>38438</xdr:rowOff>
    </xdr:from>
    <xdr:to>
      <xdr:col>4</xdr:col>
      <xdr:colOff>986116</xdr:colOff>
      <xdr:row>98</xdr:row>
      <xdr:rowOff>916417</xdr:rowOff>
    </xdr:to>
    <xdr:pic>
      <xdr:nvPicPr>
        <xdr:cNvPr id="77" name="image75.jpeg"/>
        <xdr:cNvPicPr>
          <a:picLocks noChangeAspect="1"/>
        </xdr:cNvPicPr>
      </xdr:nvPicPr>
      <xdr:blipFill>
        <a:blip r:embed="rId74">
          <a:extLst>
            <a:ext uri="{28A0092B-C50C-407E-A947-70E740481C1C}">
              <a14:useLocalDpi xmlns:a14="http://schemas.microsoft.com/office/drawing/2010/main" val="0"/>
            </a:ext>
          </a:extLst>
        </a:blip>
        <a:stretch>
          <a:fillRect/>
        </a:stretch>
      </xdr:blipFill>
      <xdr:spPr>
        <a:xfrm>
          <a:off x="5320030" y="94359095"/>
          <a:ext cx="534670" cy="878205"/>
        </a:xfrm>
        <a:prstGeom prst="rect">
          <a:avLst/>
        </a:prstGeom>
      </xdr:spPr>
    </xdr:pic>
    <xdr:clientData/>
  </xdr:twoCellAnchor>
  <xdr:twoCellAnchor>
    <xdr:from>
      <xdr:col>4</xdr:col>
      <xdr:colOff>364239</xdr:colOff>
      <xdr:row>99</xdr:row>
      <xdr:rowOff>79124</xdr:rowOff>
    </xdr:from>
    <xdr:to>
      <xdr:col>4</xdr:col>
      <xdr:colOff>944889</xdr:colOff>
      <xdr:row>99</xdr:row>
      <xdr:rowOff>930088</xdr:rowOff>
    </xdr:to>
    <xdr:pic>
      <xdr:nvPicPr>
        <xdr:cNvPr id="78" name="image76.jpeg"/>
        <xdr:cNvPicPr>
          <a:picLocks noChangeAspect="1"/>
        </xdr:cNvPicPr>
      </xdr:nvPicPr>
      <xdr:blipFill>
        <a:blip r:embed="rId75">
          <a:extLst>
            <a:ext uri="{28A0092B-C50C-407E-A947-70E740481C1C}">
              <a14:useLocalDpi xmlns:a14="http://schemas.microsoft.com/office/drawing/2010/main" val="0"/>
            </a:ext>
          </a:extLst>
        </a:blip>
        <a:stretch>
          <a:fillRect/>
        </a:stretch>
      </xdr:blipFill>
      <xdr:spPr>
        <a:xfrm>
          <a:off x="5233035" y="95417640"/>
          <a:ext cx="581025" cy="850900"/>
        </a:xfrm>
        <a:prstGeom prst="rect">
          <a:avLst/>
        </a:prstGeom>
      </xdr:spPr>
    </xdr:pic>
    <xdr:clientData/>
  </xdr:twoCellAnchor>
  <xdr:twoCellAnchor>
    <xdr:from>
      <xdr:col>4</xdr:col>
      <xdr:colOff>152139</xdr:colOff>
      <xdr:row>88</xdr:row>
      <xdr:rowOff>213354</xdr:rowOff>
    </xdr:from>
    <xdr:to>
      <xdr:col>4</xdr:col>
      <xdr:colOff>1138985</xdr:colOff>
      <xdr:row>88</xdr:row>
      <xdr:rowOff>739587</xdr:rowOff>
    </xdr:to>
    <xdr:pic>
      <xdr:nvPicPr>
        <xdr:cNvPr id="79" name="image77.jpeg"/>
        <xdr:cNvPicPr>
          <a:picLocks noChangeAspect="1"/>
        </xdr:cNvPicPr>
      </xdr:nvPicPr>
      <xdr:blipFill>
        <a:blip r:embed="rId76">
          <a:extLst>
            <a:ext uri="{28A0092B-C50C-407E-A947-70E740481C1C}">
              <a14:useLocalDpi xmlns:a14="http://schemas.microsoft.com/office/drawing/2010/main" val="0"/>
            </a:ext>
          </a:extLst>
        </a:blip>
        <a:stretch>
          <a:fillRect/>
        </a:stretch>
      </xdr:blipFill>
      <xdr:spPr>
        <a:xfrm>
          <a:off x="5020945" y="84735670"/>
          <a:ext cx="986790" cy="526415"/>
        </a:xfrm>
        <a:prstGeom prst="rect">
          <a:avLst/>
        </a:prstGeom>
      </xdr:spPr>
    </xdr:pic>
    <xdr:clientData/>
  </xdr:twoCellAnchor>
  <xdr:twoCellAnchor>
    <xdr:from>
      <xdr:col>4</xdr:col>
      <xdr:colOff>88960</xdr:colOff>
      <xdr:row>89</xdr:row>
      <xdr:rowOff>310177</xdr:rowOff>
    </xdr:from>
    <xdr:to>
      <xdr:col>4</xdr:col>
      <xdr:colOff>1153385</xdr:colOff>
      <xdr:row>89</xdr:row>
      <xdr:rowOff>695317</xdr:rowOff>
    </xdr:to>
    <xdr:pic>
      <xdr:nvPicPr>
        <xdr:cNvPr id="80" name="image78.jpeg"/>
        <xdr:cNvPicPr>
          <a:picLocks noChangeAspect="1"/>
        </xdr:cNvPicPr>
      </xdr:nvPicPr>
      <xdr:blipFill>
        <a:blip r:embed="rId77">
          <a:extLst>
            <a:ext uri="{28A0092B-C50C-407E-A947-70E740481C1C}">
              <a14:useLocalDpi xmlns:a14="http://schemas.microsoft.com/office/drawing/2010/main" val="0"/>
            </a:ext>
          </a:extLst>
        </a:blip>
        <a:stretch>
          <a:fillRect/>
        </a:stretch>
      </xdr:blipFill>
      <xdr:spPr>
        <a:xfrm>
          <a:off x="4958080" y="85850730"/>
          <a:ext cx="1064260" cy="384810"/>
        </a:xfrm>
        <a:prstGeom prst="rect">
          <a:avLst/>
        </a:prstGeom>
      </xdr:spPr>
    </xdr:pic>
    <xdr:clientData/>
  </xdr:twoCellAnchor>
  <xdr:twoCellAnchor>
    <xdr:from>
      <xdr:col>4</xdr:col>
      <xdr:colOff>437563</xdr:colOff>
      <xdr:row>100</xdr:row>
      <xdr:rowOff>82568</xdr:rowOff>
    </xdr:from>
    <xdr:to>
      <xdr:col>4</xdr:col>
      <xdr:colOff>965127</xdr:colOff>
      <xdr:row>100</xdr:row>
      <xdr:rowOff>941293</xdr:rowOff>
    </xdr:to>
    <xdr:pic>
      <xdr:nvPicPr>
        <xdr:cNvPr id="81" name="image79.jpeg"/>
        <xdr:cNvPicPr>
          <a:picLocks noChangeAspect="1"/>
        </xdr:cNvPicPr>
      </xdr:nvPicPr>
      <xdr:blipFill>
        <a:blip r:embed="rId78">
          <a:extLst>
            <a:ext uri="{28A0092B-C50C-407E-A947-70E740481C1C}">
              <a14:useLocalDpi xmlns:a14="http://schemas.microsoft.com/office/drawing/2010/main" val="0"/>
            </a:ext>
          </a:extLst>
        </a:blip>
        <a:stretch>
          <a:fillRect/>
        </a:stretch>
      </xdr:blipFill>
      <xdr:spPr>
        <a:xfrm>
          <a:off x="5306695" y="96439355"/>
          <a:ext cx="527050" cy="858520"/>
        </a:xfrm>
        <a:prstGeom prst="rect">
          <a:avLst/>
        </a:prstGeom>
      </xdr:spPr>
    </xdr:pic>
    <xdr:clientData/>
  </xdr:twoCellAnchor>
  <xdr:twoCellAnchor>
    <xdr:from>
      <xdr:col>4</xdr:col>
      <xdr:colOff>351377</xdr:colOff>
      <xdr:row>101</xdr:row>
      <xdr:rowOff>34176</xdr:rowOff>
    </xdr:from>
    <xdr:to>
      <xdr:col>4</xdr:col>
      <xdr:colOff>857250</xdr:colOff>
      <xdr:row>101</xdr:row>
      <xdr:rowOff>956179</xdr:rowOff>
    </xdr:to>
    <xdr:pic>
      <xdr:nvPicPr>
        <xdr:cNvPr id="82" name="image80.jpeg"/>
        <xdr:cNvPicPr>
          <a:picLocks noChangeAspect="1"/>
        </xdr:cNvPicPr>
      </xdr:nvPicPr>
      <xdr:blipFill>
        <a:blip r:embed="rId79">
          <a:extLst>
            <a:ext uri="{28A0092B-C50C-407E-A947-70E740481C1C}">
              <a14:useLocalDpi xmlns:a14="http://schemas.microsoft.com/office/drawing/2010/main" val="0"/>
            </a:ext>
          </a:extLst>
        </a:blip>
        <a:stretch>
          <a:fillRect/>
        </a:stretch>
      </xdr:blipFill>
      <xdr:spPr>
        <a:xfrm>
          <a:off x="5220335" y="97408365"/>
          <a:ext cx="506095" cy="922020"/>
        </a:xfrm>
        <a:prstGeom prst="rect">
          <a:avLst/>
        </a:prstGeom>
      </xdr:spPr>
    </xdr:pic>
    <xdr:clientData/>
  </xdr:twoCellAnchor>
  <xdr:twoCellAnchor>
    <xdr:from>
      <xdr:col>4</xdr:col>
      <xdr:colOff>397901</xdr:colOff>
      <xdr:row>102</xdr:row>
      <xdr:rowOff>140801</xdr:rowOff>
    </xdr:from>
    <xdr:to>
      <xdr:col>4</xdr:col>
      <xdr:colOff>920447</xdr:colOff>
      <xdr:row>102</xdr:row>
      <xdr:rowOff>941294</xdr:rowOff>
    </xdr:to>
    <xdr:pic>
      <xdr:nvPicPr>
        <xdr:cNvPr id="83" name="image81.jpeg"/>
        <xdr:cNvPicPr>
          <a:picLocks noChangeAspect="1"/>
        </xdr:cNvPicPr>
      </xdr:nvPicPr>
      <xdr:blipFill>
        <a:blip r:embed="rId80">
          <a:extLst>
            <a:ext uri="{28A0092B-C50C-407E-A947-70E740481C1C}">
              <a14:useLocalDpi xmlns:a14="http://schemas.microsoft.com/office/drawing/2010/main" val="0"/>
            </a:ext>
          </a:extLst>
        </a:blip>
        <a:stretch>
          <a:fillRect/>
        </a:stretch>
      </xdr:blipFill>
      <xdr:spPr>
        <a:xfrm>
          <a:off x="5266690" y="98532950"/>
          <a:ext cx="522605" cy="800735"/>
        </a:xfrm>
        <a:prstGeom prst="rect">
          <a:avLst/>
        </a:prstGeom>
      </xdr:spPr>
    </xdr:pic>
    <xdr:clientData/>
  </xdr:twoCellAnchor>
  <xdr:twoCellAnchor>
    <xdr:from>
      <xdr:col>4</xdr:col>
      <xdr:colOff>386710</xdr:colOff>
      <xdr:row>103</xdr:row>
      <xdr:rowOff>49262</xdr:rowOff>
    </xdr:from>
    <xdr:to>
      <xdr:col>4</xdr:col>
      <xdr:colOff>930087</xdr:colOff>
      <xdr:row>103</xdr:row>
      <xdr:rowOff>915372</xdr:rowOff>
    </xdr:to>
    <xdr:pic>
      <xdr:nvPicPr>
        <xdr:cNvPr id="84" name="image82.jpeg"/>
        <xdr:cNvPicPr>
          <a:picLocks noChangeAspect="1"/>
        </xdr:cNvPicPr>
      </xdr:nvPicPr>
      <xdr:blipFill>
        <a:blip r:embed="rId81">
          <a:extLst>
            <a:ext uri="{28A0092B-C50C-407E-A947-70E740481C1C}">
              <a14:useLocalDpi xmlns:a14="http://schemas.microsoft.com/office/drawing/2010/main" val="0"/>
            </a:ext>
          </a:extLst>
        </a:blip>
        <a:stretch>
          <a:fillRect/>
        </a:stretch>
      </xdr:blipFill>
      <xdr:spPr>
        <a:xfrm>
          <a:off x="5255260" y="99459415"/>
          <a:ext cx="543560" cy="866140"/>
        </a:xfrm>
        <a:prstGeom prst="rect">
          <a:avLst/>
        </a:prstGeom>
      </xdr:spPr>
    </xdr:pic>
    <xdr:clientData/>
  </xdr:twoCellAnchor>
  <xdr:twoCellAnchor>
    <xdr:from>
      <xdr:col>4</xdr:col>
      <xdr:colOff>394994</xdr:colOff>
      <xdr:row>104</xdr:row>
      <xdr:rowOff>63267</xdr:rowOff>
    </xdr:from>
    <xdr:to>
      <xdr:col>4</xdr:col>
      <xdr:colOff>963706</xdr:colOff>
      <xdr:row>104</xdr:row>
      <xdr:rowOff>942413</xdr:rowOff>
    </xdr:to>
    <xdr:pic>
      <xdr:nvPicPr>
        <xdr:cNvPr id="85" name="image83.jpeg"/>
        <xdr:cNvPicPr>
          <a:picLocks noChangeAspect="1"/>
        </xdr:cNvPicPr>
      </xdr:nvPicPr>
      <xdr:blipFill>
        <a:blip r:embed="rId82">
          <a:extLst>
            <a:ext uri="{28A0092B-C50C-407E-A947-70E740481C1C}">
              <a14:useLocalDpi xmlns:a14="http://schemas.microsoft.com/office/drawing/2010/main" val="0"/>
            </a:ext>
          </a:extLst>
        </a:blip>
        <a:stretch>
          <a:fillRect/>
        </a:stretch>
      </xdr:blipFill>
      <xdr:spPr>
        <a:xfrm>
          <a:off x="5264150" y="100491290"/>
          <a:ext cx="568325" cy="879475"/>
        </a:xfrm>
        <a:prstGeom prst="rect">
          <a:avLst/>
        </a:prstGeom>
      </xdr:spPr>
    </xdr:pic>
    <xdr:clientData/>
  </xdr:twoCellAnchor>
  <xdr:twoCellAnchor>
    <xdr:from>
      <xdr:col>4</xdr:col>
      <xdr:colOff>376429</xdr:colOff>
      <xdr:row>105</xdr:row>
      <xdr:rowOff>39104</xdr:rowOff>
    </xdr:from>
    <xdr:to>
      <xdr:col>4</xdr:col>
      <xdr:colOff>974912</xdr:colOff>
      <xdr:row>105</xdr:row>
      <xdr:rowOff>946989</xdr:rowOff>
    </xdr:to>
    <xdr:pic>
      <xdr:nvPicPr>
        <xdr:cNvPr id="86" name="image84.jpeg"/>
        <xdr:cNvPicPr>
          <a:picLocks noChangeAspect="1"/>
        </xdr:cNvPicPr>
      </xdr:nvPicPr>
      <xdr:blipFill>
        <a:blip r:embed="rId83">
          <a:extLst>
            <a:ext uri="{28A0092B-C50C-407E-A947-70E740481C1C}">
              <a14:useLocalDpi xmlns:a14="http://schemas.microsoft.com/office/drawing/2010/main" val="0"/>
            </a:ext>
          </a:extLst>
        </a:blip>
        <a:stretch>
          <a:fillRect/>
        </a:stretch>
      </xdr:blipFill>
      <xdr:spPr>
        <a:xfrm>
          <a:off x="5245100" y="101485065"/>
          <a:ext cx="598805" cy="908050"/>
        </a:xfrm>
        <a:prstGeom prst="rect">
          <a:avLst/>
        </a:prstGeom>
      </xdr:spPr>
    </xdr:pic>
    <xdr:clientData/>
  </xdr:twoCellAnchor>
  <xdr:twoCellAnchor>
    <xdr:from>
      <xdr:col>4</xdr:col>
      <xdr:colOff>319260</xdr:colOff>
      <xdr:row>106</xdr:row>
      <xdr:rowOff>48869</xdr:rowOff>
    </xdr:from>
    <xdr:to>
      <xdr:col>4</xdr:col>
      <xdr:colOff>963146</xdr:colOff>
      <xdr:row>106</xdr:row>
      <xdr:rowOff>952500</xdr:rowOff>
    </xdr:to>
    <xdr:pic>
      <xdr:nvPicPr>
        <xdr:cNvPr id="87" name="image85.jpeg"/>
        <xdr:cNvPicPr>
          <a:picLocks noChangeAspect="1"/>
        </xdr:cNvPicPr>
      </xdr:nvPicPr>
      <xdr:blipFill>
        <a:blip r:embed="rId84">
          <a:extLst>
            <a:ext uri="{28A0092B-C50C-407E-A947-70E740481C1C}">
              <a14:useLocalDpi xmlns:a14="http://schemas.microsoft.com/office/drawing/2010/main" val="0"/>
            </a:ext>
          </a:extLst>
        </a:blip>
        <a:stretch>
          <a:fillRect/>
        </a:stretch>
      </xdr:blipFill>
      <xdr:spPr>
        <a:xfrm>
          <a:off x="5187950" y="102512495"/>
          <a:ext cx="643890" cy="904240"/>
        </a:xfrm>
        <a:prstGeom prst="rect">
          <a:avLst/>
        </a:prstGeom>
      </xdr:spPr>
    </xdr:pic>
    <xdr:clientData/>
  </xdr:twoCellAnchor>
  <xdr:twoCellAnchor>
    <xdr:from>
      <xdr:col>4</xdr:col>
      <xdr:colOff>420164</xdr:colOff>
      <xdr:row>107</xdr:row>
      <xdr:rowOff>54900</xdr:rowOff>
    </xdr:from>
    <xdr:to>
      <xdr:col>4</xdr:col>
      <xdr:colOff>974911</xdr:colOff>
      <xdr:row>107</xdr:row>
      <xdr:rowOff>973276</xdr:rowOff>
    </xdr:to>
    <xdr:pic>
      <xdr:nvPicPr>
        <xdr:cNvPr id="88" name="image86.jpeg"/>
        <xdr:cNvPicPr>
          <a:picLocks noChangeAspect="1"/>
        </xdr:cNvPicPr>
      </xdr:nvPicPr>
      <xdr:blipFill>
        <a:blip r:embed="rId85">
          <a:extLst>
            <a:ext uri="{28A0092B-C50C-407E-A947-70E740481C1C}">
              <a14:useLocalDpi xmlns:a14="http://schemas.microsoft.com/office/drawing/2010/main" val="0"/>
            </a:ext>
          </a:extLst>
        </a:blip>
        <a:stretch>
          <a:fillRect/>
        </a:stretch>
      </xdr:blipFill>
      <xdr:spPr>
        <a:xfrm>
          <a:off x="5288915" y="103536750"/>
          <a:ext cx="554990" cy="918210"/>
        </a:xfrm>
        <a:prstGeom prst="rect">
          <a:avLst/>
        </a:prstGeom>
      </xdr:spPr>
    </xdr:pic>
    <xdr:clientData/>
  </xdr:twoCellAnchor>
  <xdr:twoCellAnchor>
    <xdr:from>
      <xdr:col>4</xdr:col>
      <xdr:colOff>372916</xdr:colOff>
      <xdr:row>108</xdr:row>
      <xdr:rowOff>82022</xdr:rowOff>
    </xdr:from>
    <xdr:to>
      <xdr:col>4</xdr:col>
      <xdr:colOff>975323</xdr:colOff>
      <xdr:row>108</xdr:row>
      <xdr:rowOff>952501</xdr:rowOff>
    </xdr:to>
    <xdr:pic>
      <xdr:nvPicPr>
        <xdr:cNvPr id="89" name="image87.jpeg"/>
        <xdr:cNvPicPr>
          <a:picLocks noChangeAspect="1"/>
        </xdr:cNvPicPr>
      </xdr:nvPicPr>
      <xdr:blipFill>
        <a:blip r:embed="rId86">
          <a:extLst>
            <a:ext uri="{28A0092B-C50C-407E-A947-70E740481C1C}">
              <a14:useLocalDpi xmlns:a14="http://schemas.microsoft.com/office/drawing/2010/main" val="0"/>
            </a:ext>
          </a:extLst>
        </a:blip>
        <a:stretch>
          <a:fillRect/>
        </a:stretch>
      </xdr:blipFill>
      <xdr:spPr>
        <a:xfrm>
          <a:off x="5241925" y="104581960"/>
          <a:ext cx="601980" cy="870585"/>
        </a:xfrm>
        <a:prstGeom prst="rect">
          <a:avLst/>
        </a:prstGeom>
      </xdr:spPr>
    </xdr:pic>
    <xdr:clientData/>
  </xdr:twoCellAnchor>
  <xdr:twoCellAnchor>
    <xdr:from>
      <xdr:col>4</xdr:col>
      <xdr:colOff>321937</xdr:colOff>
      <xdr:row>109</xdr:row>
      <xdr:rowOff>51080</xdr:rowOff>
    </xdr:from>
    <xdr:to>
      <xdr:col>4</xdr:col>
      <xdr:colOff>986116</xdr:colOff>
      <xdr:row>109</xdr:row>
      <xdr:rowOff>959049</xdr:rowOff>
    </xdr:to>
    <xdr:pic>
      <xdr:nvPicPr>
        <xdr:cNvPr id="90" name="image88.jpeg"/>
        <xdr:cNvPicPr>
          <a:picLocks noChangeAspect="1"/>
        </xdr:cNvPicPr>
      </xdr:nvPicPr>
      <xdr:blipFill>
        <a:blip r:embed="rId87">
          <a:extLst>
            <a:ext uri="{28A0092B-C50C-407E-A947-70E740481C1C}">
              <a14:useLocalDpi xmlns:a14="http://schemas.microsoft.com/office/drawing/2010/main" val="0"/>
            </a:ext>
          </a:extLst>
        </a:blip>
        <a:stretch>
          <a:fillRect/>
        </a:stretch>
      </xdr:blipFill>
      <xdr:spPr>
        <a:xfrm>
          <a:off x="5190490" y="105568750"/>
          <a:ext cx="664210" cy="908050"/>
        </a:xfrm>
        <a:prstGeom prst="rect">
          <a:avLst/>
        </a:prstGeom>
      </xdr:spPr>
    </xdr:pic>
    <xdr:clientData/>
  </xdr:twoCellAnchor>
  <xdr:twoCellAnchor>
    <xdr:from>
      <xdr:col>4</xdr:col>
      <xdr:colOff>363351</xdr:colOff>
      <xdr:row>110</xdr:row>
      <xdr:rowOff>28971</xdr:rowOff>
    </xdr:from>
    <xdr:to>
      <xdr:col>4</xdr:col>
      <xdr:colOff>1008529</xdr:colOff>
      <xdr:row>110</xdr:row>
      <xdr:rowOff>978585</xdr:rowOff>
    </xdr:to>
    <xdr:pic>
      <xdr:nvPicPr>
        <xdr:cNvPr id="91" name="image89.jpeg"/>
        <xdr:cNvPicPr>
          <a:picLocks noChangeAspect="1"/>
        </xdr:cNvPicPr>
      </xdr:nvPicPr>
      <xdr:blipFill>
        <a:blip r:embed="rId88">
          <a:extLst>
            <a:ext uri="{28A0092B-C50C-407E-A947-70E740481C1C}">
              <a14:useLocalDpi xmlns:a14="http://schemas.microsoft.com/office/drawing/2010/main" val="0"/>
            </a:ext>
          </a:extLst>
        </a:blip>
        <a:stretch>
          <a:fillRect/>
        </a:stretch>
      </xdr:blipFill>
      <xdr:spPr>
        <a:xfrm>
          <a:off x="5232400" y="106564430"/>
          <a:ext cx="645160" cy="949960"/>
        </a:xfrm>
        <a:prstGeom prst="rect">
          <a:avLst/>
        </a:prstGeom>
      </xdr:spPr>
    </xdr:pic>
    <xdr:clientData/>
  </xdr:twoCellAnchor>
  <xdr:twoCellAnchor>
    <xdr:from>
      <xdr:col>4</xdr:col>
      <xdr:colOff>395111</xdr:colOff>
      <xdr:row>112</xdr:row>
      <xdr:rowOff>42236</xdr:rowOff>
    </xdr:from>
    <xdr:to>
      <xdr:col>4</xdr:col>
      <xdr:colOff>941580</xdr:colOff>
      <xdr:row>112</xdr:row>
      <xdr:rowOff>952499</xdr:rowOff>
    </xdr:to>
    <xdr:pic>
      <xdr:nvPicPr>
        <xdr:cNvPr id="92" name="image90.jpeg"/>
        <xdr:cNvPicPr>
          <a:picLocks noChangeAspect="1"/>
        </xdr:cNvPicPr>
      </xdr:nvPicPr>
      <xdr:blipFill>
        <a:blip r:embed="rId89">
          <a:extLst>
            <a:ext uri="{28A0092B-C50C-407E-A947-70E740481C1C}">
              <a14:useLocalDpi xmlns:a14="http://schemas.microsoft.com/office/drawing/2010/main" val="0"/>
            </a:ext>
          </a:extLst>
        </a:blip>
        <a:stretch>
          <a:fillRect/>
        </a:stretch>
      </xdr:blipFill>
      <xdr:spPr>
        <a:xfrm>
          <a:off x="5264150" y="108232575"/>
          <a:ext cx="546100" cy="909955"/>
        </a:xfrm>
        <a:prstGeom prst="rect">
          <a:avLst/>
        </a:prstGeom>
      </xdr:spPr>
    </xdr:pic>
    <xdr:clientData/>
  </xdr:twoCellAnchor>
  <xdr:twoCellAnchor>
    <xdr:from>
      <xdr:col>4</xdr:col>
      <xdr:colOff>406347</xdr:colOff>
      <xdr:row>113</xdr:row>
      <xdr:rowOff>49846</xdr:rowOff>
    </xdr:from>
    <xdr:to>
      <xdr:col>4</xdr:col>
      <xdr:colOff>1046424</xdr:colOff>
      <xdr:row>113</xdr:row>
      <xdr:rowOff>930087</xdr:rowOff>
    </xdr:to>
    <xdr:pic>
      <xdr:nvPicPr>
        <xdr:cNvPr id="93" name="image91.jpeg"/>
        <xdr:cNvPicPr>
          <a:picLocks noChangeAspect="1"/>
        </xdr:cNvPicPr>
      </xdr:nvPicPr>
      <xdr:blipFill>
        <a:blip r:embed="rId90">
          <a:extLst>
            <a:ext uri="{28A0092B-C50C-407E-A947-70E740481C1C}">
              <a14:useLocalDpi xmlns:a14="http://schemas.microsoft.com/office/drawing/2010/main" val="0"/>
            </a:ext>
          </a:extLst>
        </a:blip>
        <a:stretch>
          <a:fillRect/>
        </a:stretch>
      </xdr:blipFill>
      <xdr:spPr>
        <a:xfrm>
          <a:off x="5274945" y="109383195"/>
          <a:ext cx="640080" cy="880110"/>
        </a:xfrm>
        <a:prstGeom prst="rect">
          <a:avLst/>
        </a:prstGeom>
      </xdr:spPr>
    </xdr:pic>
    <xdr:clientData/>
  </xdr:twoCellAnchor>
  <xdr:twoCellAnchor>
    <xdr:from>
      <xdr:col>4</xdr:col>
      <xdr:colOff>372184</xdr:colOff>
      <xdr:row>114</xdr:row>
      <xdr:rowOff>27682</xdr:rowOff>
    </xdr:from>
    <xdr:to>
      <xdr:col>4</xdr:col>
      <xdr:colOff>992479</xdr:colOff>
      <xdr:row>114</xdr:row>
      <xdr:rowOff>930088</xdr:rowOff>
    </xdr:to>
    <xdr:pic>
      <xdr:nvPicPr>
        <xdr:cNvPr id="94" name="image92.png"/>
        <xdr:cNvPicPr>
          <a:picLocks noChangeAspect="1"/>
        </xdr:cNvPicPr>
      </xdr:nvPicPr>
      <xdr:blipFill>
        <a:blip r:embed="rId91">
          <a:extLst>
            <a:ext uri="{28A0092B-C50C-407E-A947-70E740481C1C}">
              <a14:useLocalDpi xmlns:a14="http://schemas.microsoft.com/office/drawing/2010/main" val="0"/>
            </a:ext>
          </a:extLst>
        </a:blip>
        <a:stretch>
          <a:fillRect/>
        </a:stretch>
      </xdr:blipFill>
      <xdr:spPr>
        <a:xfrm>
          <a:off x="5241290" y="110503970"/>
          <a:ext cx="619760" cy="902335"/>
        </a:xfrm>
        <a:prstGeom prst="rect">
          <a:avLst/>
        </a:prstGeom>
      </xdr:spPr>
    </xdr:pic>
    <xdr:clientData/>
  </xdr:twoCellAnchor>
  <xdr:twoCellAnchor>
    <xdr:from>
      <xdr:col>4</xdr:col>
      <xdr:colOff>335048</xdr:colOff>
      <xdr:row>118</xdr:row>
      <xdr:rowOff>87783</xdr:rowOff>
    </xdr:from>
    <xdr:to>
      <xdr:col>4</xdr:col>
      <xdr:colOff>945598</xdr:colOff>
      <xdr:row>118</xdr:row>
      <xdr:rowOff>952500</xdr:rowOff>
    </xdr:to>
    <xdr:pic>
      <xdr:nvPicPr>
        <xdr:cNvPr id="95" name="image93.jpeg"/>
        <xdr:cNvPicPr>
          <a:picLocks noChangeAspect="1"/>
        </xdr:cNvPicPr>
      </xdr:nvPicPr>
      <xdr:blipFill>
        <a:blip r:embed="rId92">
          <a:extLst>
            <a:ext uri="{28A0092B-C50C-407E-A947-70E740481C1C}">
              <a14:useLocalDpi xmlns:a14="http://schemas.microsoft.com/office/drawing/2010/main" val="0"/>
            </a:ext>
          </a:extLst>
        </a:blip>
        <a:stretch>
          <a:fillRect/>
        </a:stretch>
      </xdr:blipFill>
      <xdr:spPr>
        <a:xfrm>
          <a:off x="5203825" y="115136295"/>
          <a:ext cx="610870" cy="864870"/>
        </a:xfrm>
        <a:prstGeom prst="rect">
          <a:avLst/>
        </a:prstGeom>
      </xdr:spPr>
    </xdr:pic>
    <xdr:clientData/>
  </xdr:twoCellAnchor>
  <xdr:twoCellAnchor>
    <xdr:from>
      <xdr:col>4</xdr:col>
      <xdr:colOff>329123</xdr:colOff>
      <xdr:row>119</xdr:row>
      <xdr:rowOff>57970</xdr:rowOff>
    </xdr:from>
    <xdr:to>
      <xdr:col>4</xdr:col>
      <xdr:colOff>980411</xdr:colOff>
      <xdr:row>119</xdr:row>
      <xdr:rowOff>952500</xdr:rowOff>
    </xdr:to>
    <xdr:pic>
      <xdr:nvPicPr>
        <xdr:cNvPr id="96" name="image94.jpeg"/>
        <xdr:cNvPicPr>
          <a:picLocks noChangeAspect="1"/>
        </xdr:cNvPicPr>
      </xdr:nvPicPr>
      <xdr:blipFill>
        <a:blip r:embed="rId93">
          <a:extLst>
            <a:ext uri="{28A0092B-C50C-407E-A947-70E740481C1C}">
              <a14:useLocalDpi xmlns:a14="http://schemas.microsoft.com/office/drawing/2010/main" val="0"/>
            </a:ext>
          </a:extLst>
        </a:blip>
        <a:stretch>
          <a:fillRect/>
        </a:stretch>
      </xdr:blipFill>
      <xdr:spPr>
        <a:xfrm>
          <a:off x="5198110" y="116249450"/>
          <a:ext cx="650875" cy="894715"/>
        </a:xfrm>
        <a:prstGeom prst="rect">
          <a:avLst/>
        </a:prstGeom>
      </xdr:spPr>
    </xdr:pic>
    <xdr:clientData/>
  </xdr:twoCellAnchor>
  <xdr:twoCellAnchor>
    <xdr:from>
      <xdr:col>4</xdr:col>
      <xdr:colOff>323151</xdr:colOff>
      <xdr:row>120</xdr:row>
      <xdr:rowOff>28547</xdr:rowOff>
    </xdr:from>
    <xdr:to>
      <xdr:col>4</xdr:col>
      <xdr:colOff>953771</xdr:colOff>
      <xdr:row>120</xdr:row>
      <xdr:rowOff>907676</xdr:rowOff>
    </xdr:to>
    <xdr:pic>
      <xdr:nvPicPr>
        <xdr:cNvPr id="97" name="image95.jpeg"/>
        <xdr:cNvPicPr>
          <a:picLocks noChangeAspect="1"/>
        </xdr:cNvPicPr>
      </xdr:nvPicPr>
      <xdr:blipFill>
        <a:blip r:embed="rId94">
          <a:extLst>
            <a:ext uri="{28A0092B-C50C-407E-A947-70E740481C1C}">
              <a14:useLocalDpi xmlns:a14="http://schemas.microsoft.com/office/drawing/2010/main" val="0"/>
            </a:ext>
          </a:extLst>
        </a:blip>
        <a:stretch>
          <a:fillRect/>
        </a:stretch>
      </xdr:blipFill>
      <xdr:spPr>
        <a:xfrm>
          <a:off x="5191760" y="117362605"/>
          <a:ext cx="631190" cy="879475"/>
        </a:xfrm>
        <a:prstGeom prst="rect">
          <a:avLst/>
        </a:prstGeom>
      </xdr:spPr>
    </xdr:pic>
    <xdr:clientData/>
  </xdr:twoCellAnchor>
  <xdr:twoCellAnchor>
    <xdr:from>
      <xdr:col>4</xdr:col>
      <xdr:colOff>305397</xdr:colOff>
      <xdr:row>121</xdr:row>
      <xdr:rowOff>38727</xdr:rowOff>
    </xdr:from>
    <xdr:to>
      <xdr:col>4</xdr:col>
      <xdr:colOff>945444</xdr:colOff>
      <xdr:row>121</xdr:row>
      <xdr:rowOff>974910</xdr:rowOff>
    </xdr:to>
    <xdr:pic>
      <xdr:nvPicPr>
        <xdr:cNvPr id="98" name="image96.jpeg"/>
        <xdr:cNvPicPr>
          <a:picLocks noChangeAspect="1"/>
        </xdr:cNvPicPr>
      </xdr:nvPicPr>
      <xdr:blipFill>
        <a:blip r:embed="rId95">
          <a:extLst>
            <a:ext uri="{28A0092B-C50C-407E-A947-70E740481C1C}">
              <a14:useLocalDpi xmlns:a14="http://schemas.microsoft.com/office/drawing/2010/main" val="0"/>
            </a:ext>
          </a:extLst>
        </a:blip>
        <a:stretch>
          <a:fillRect/>
        </a:stretch>
      </xdr:blipFill>
      <xdr:spPr>
        <a:xfrm>
          <a:off x="5173980" y="118515765"/>
          <a:ext cx="640080" cy="936625"/>
        </a:xfrm>
        <a:prstGeom prst="rect">
          <a:avLst/>
        </a:prstGeom>
      </xdr:spPr>
    </xdr:pic>
    <xdr:clientData/>
  </xdr:twoCellAnchor>
  <xdr:twoCellAnchor>
    <xdr:from>
      <xdr:col>4</xdr:col>
      <xdr:colOff>356956</xdr:colOff>
      <xdr:row>122</xdr:row>
      <xdr:rowOff>20425</xdr:rowOff>
    </xdr:from>
    <xdr:to>
      <xdr:col>4</xdr:col>
      <xdr:colOff>975349</xdr:colOff>
      <xdr:row>122</xdr:row>
      <xdr:rowOff>918882</xdr:rowOff>
    </xdr:to>
    <xdr:pic>
      <xdr:nvPicPr>
        <xdr:cNvPr id="99" name="image97.jpeg"/>
        <xdr:cNvPicPr>
          <a:picLocks noChangeAspect="1"/>
        </xdr:cNvPicPr>
      </xdr:nvPicPr>
      <xdr:blipFill>
        <a:blip r:embed="rId96">
          <a:extLst>
            <a:ext uri="{28A0092B-C50C-407E-A947-70E740481C1C}">
              <a14:useLocalDpi xmlns:a14="http://schemas.microsoft.com/office/drawing/2010/main" val="0"/>
            </a:ext>
          </a:extLst>
        </a:blip>
        <a:stretch>
          <a:fillRect/>
        </a:stretch>
      </xdr:blipFill>
      <xdr:spPr>
        <a:xfrm>
          <a:off x="5226050" y="119640985"/>
          <a:ext cx="617855" cy="898525"/>
        </a:xfrm>
        <a:prstGeom prst="rect">
          <a:avLst/>
        </a:prstGeom>
      </xdr:spPr>
    </xdr:pic>
    <xdr:clientData/>
  </xdr:twoCellAnchor>
  <xdr:twoCellAnchor>
    <xdr:from>
      <xdr:col>4</xdr:col>
      <xdr:colOff>320560</xdr:colOff>
      <xdr:row>123</xdr:row>
      <xdr:rowOff>105531</xdr:rowOff>
    </xdr:from>
    <xdr:to>
      <xdr:col>4</xdr:col>
      <xdr:colOff>912406</xdr:colOff>
      <xdr:row>123</xdr:row>
      <xdr:rowOff>930089</xdr:rowOff>
    </xdr:to>
    <xdr:pic>
      <xdr:nvPicPr>
        <xdr:cNvPr id="100" name="image98.jpeg"/>
        <xdr:cNvPicPr>
          <a:picLocks noChangeAspect="1"/>
        </xdr:cNvPicPr>
      </xdr:nvPicPr>
      <xdr:blipFill>
        <a:blip r:embed="rId97">
          <a:extLst>
            <a:ext uri="{28A0092B-C50C-407E-A947-70E740481C1C}">
              <a14:useLocalDpi xmlns:a14="http://schemas.microsoft.com/office/drawing/2010/main" val="0"/>
            </a:ext>
          </a:extLst>
        </a:blip>
        <a:stretch>
          <a:fillRect/>
        </a:stretch>
      </xdr:blipFill>
      <xdr:spPr>
        <a:xfrm>
          <a:off x="5189220" y="120869075"/>
          <a:ext cx="591820" cy="824230"/>
        </a:xfrm>
        <a:prstGeom prst="rect">
          <a:avLst/>
        </a:prstGeom>
      </xdr:spPr>
    </xdr:pic>
    <xdr:clientData/>
  </xdr:twoCellAnchor>
  <xdr:twoCellAnchor>
    <xdr:from>
      <xdr:col>4</xdr:col>
      <xdr:colOff>331919</xdr:colOff>
      <xdr:row>124</xdr:row>
      <xdr:rowOff>82385</xdr:rowOff>
    </xdr:from>
    <xdr:to>
      <xdr:col>4</xdr:col>
      <xdr:colOff>925566</xdr:colOff>
      <xdr:row>124</xdr:row>
      <xdr:rowOff>952500</xdr:rowOff>
    </xdr:to>
    <xdr:pic>
      <xdr:nvPicPr>
        <xdr:cNvPr id="101" name="image99.jpeg"/>
        <xdr:cNvPicPr>
          <a:picLocks noChangeAspect="1"/>
        </xdr:cNvPicPr>
      </xdr:nvPicPr>
      <xdr:blipFill>
        <a:blip r:embed="rId98">
          <a:extLst>
            <a:ext uri="{28A0092B-C50C-407E-A947-70E740481C1C}">
              <a14:useLocalDpi xmlns:a14="http://schemas.microsoft.com/office/drawing/2010/main" val="0"/>
            </a:ext>
          </a:extLst>
        </a:blip>
        <a:stretch>
          <a:fillRect/>
        </a:stretch>
      </xdr:blipFill>
      <xdr:spPr>
        <a:xfrm>
          <a:off x="5200650" y="121988580"/>
          <a:ext cx="593725" cy="870585"/>
        </a:xfrm>
        <a:prstGeom prst="rect">
          <a:avLst/>
        </a:prstGeom>
      </xdr:spPr>
    </xdr:pic>
    <xdr:clientData/>
  </xdr:twoCellAnchor>
  <xdr:twoCellAnchor>
    <xdr:from>
      <xdr:col>4</xdr:col>
      <xdr:colOff>345061</xdr:colOff>
      <xdr:row>125</xdr:row>
      <xdr:rowOff>28807</xdr:rowOff>
    </xdr:from>
    <xdr:to>
      <xdr:col>4</xdr:col>
      <xdr:colOff>993996</xdr:colOff>
      <xdr:row>125</xdr:row>
      <xdr:rowOff>930088</xdr:rowOff>
    </xdr:to>
    <xdr:pic>
      <xdr:nvPicPr>
        <xdr:cNvPr id="102" name="image100.jpeg"/>
        <xdr:cNvPicPr>
          <a:picLocks noChangeAspect="1"/>
        </xdr:cNvPicPr>
      </xdr:nvPicPr>
      <xdr:blipFill>
        <a:blip r:embed="rId99">
          <a:extLst>
            <a:ext uri="{28A0092B-C50C-407E-A947-70E740481C1C}">
              <a14:useLocalDpi xmlns:a14="http://schemas.microsoft.com/office/drawing/2010/main" val="0"/>
            </a:ext>
          </a:extLst>
        </a:blip>
        <a:stretch>
          <a:fillRect/>
        </a:stretch>
      </xdr:blipFill>
      <xdr:spPr>
        <a:xfrm>
          <a:off x="5213985" y="123078240"/>
          <a:ext cx="648970" cy="901065"/>
        </a:xfrm>
        <a:prstGeom prst="rect">
          <a:avLst/>
        </a:prstGeom>
      </xdr:spPr>
    </xdr:pic>
    <xdr:clientData/>
  </xdr:twoCellAnchor>
  <xdr:twoCellAnchor>
    <xdr:from>
      <xdr:col>4</xdr:col>
      <xdr:colOff>366208</xdr:colOff>
      <xdr:row>126</xdr:row>
      <xdr:rowOff>67166</xdr:rowOff>
    </xdr:from>
    <xdr:to>
      <xdr:col>4</xdr:col>
      <xdr:colOff>999287</xdr:colOff>
      <xdr:row>126</xdr:row>
      <xdr:rowOff>918881</xdr:rowOff>
    </xdr:to>
    <xdr:pic>
      <xdr:nvPicPr>
        <xdr:cNvPr id="103" name="image101.jpeg"/>
        <xdr:cNvPicPr>
          <a:picLocks noChangeAspect="1"/>
        </xdr:cNvPicPr>
      </xdr:nvPicPr>
      <xdr:blipFill>
        <a:blip r:embed="rId100">
          <a:extLst>
            <a:ext uri="{28A0092B-C50C-407E-A947-70E740481C1C}">
              <a14:useLocalDpi xmlns:a14="http://schemas.microsoft.com/office/drawing/2010/main" val="0"/>
            </a:ext>
          </a:extLst>
        </a:blip>
        <a:stretch>
          <a:fillRect/>
        </a:stretch>
      </xdr:blipFill>
      <xdr:spPr>
        <a:xfrm>
          <a:off x="5234940" y="124259340"/>
          <a:ext cx="633095" cy="852170"/>
        </a:xfrm>
        <a:prstGeom prst="rect">
          <a:avLst/>
        </a:prstGeom>
      </xdr:spPr>
    </xdr:pic>
    <xdr:clientData/>
  </xdr:twoCellAnchor>
  <xdr:twoCellAnchor>
    <xdr:from>
      <xdr:col>4</xdr:col>
      <xdr:colOff>284394</xdr:colOff>
      <xdr:row>127</xdr:row>
      <xdr:rowOff>71765</xdr:rowOff>
    </xdr:from>
    <xdr:to>
      <xdr:col>4</xdr:col>
      <xdr:colOff>912673</xdr:colOff>
      <xdr:row>127</xdr:row>
      <xdr:rowOff>941294</xdr:rowOff>
    </xdr:to>
    <xdr:pic>
      <xdr:nvPicPr>
        <xdr:cNvPr id="104" name="image102.jpeg"/>
        <xdr:cNvPicPr>
          <a:picLocks noChangeAspect="1"/>
        </xdr:cNvPicPr>
      </xdr:nvPicPr>
      <xdr:blipFill>
        <a:blip r:embed="rId101">
          <a:extLst>
            <a:ext uri="{28A0092B-C50C-407E-A947-70E740481C1C}">
              <a14:useLocalDpi xmlns:a14="http://schemas.microsoft.com/office/drawing/2010/main" val="0"/>
            </a:ext>
          </a:extLst>
        </a:blip>
        <a:stretch>
          <a:fillRect/>
        </a:stretch>
      </xdr:blipFill>
      <xdr:spPr>
        <a:xfrm>
          <a:off x="5153025" y="125407420"/>
          <a:ext cx="628650" cy="869315"/>
        </a:xfrm>
        <a:prstGeom prst="rect">
          <a:avLst/>
        </a:prstGeom>
      </xdr:spPr>
    </xdr:pic>
    <xdr:clientData/>
  </xdr:twoCellAnchor>
  <xdr:twoCellAnchor>
    <xdr:from>
      <xdr:col>4</xdr:col>
      <xdr:colOff>329296</xdr:colOff>
      <xdr:row>128</xdr:row>
      <xdr:rowOff>50411</xdr:rowOff>
    </xdr:from>
    <xdr:to>
      <xdr:col>4</xdr:col>
      <xdr:colOff>941294</xdr:colOff>
      <xdr:row>128</xdr:row>
      <xdr:rowOff>884840</xdr:rowOff>
    </xdr:to>
    <xdr:pic>
      <xdr:nvPicPr>
        <xdr:cNvPr id="105" name="image103.jpeg"/>
        <xdr:cNvPicPr>
          <a:picLocks noChangeAspect="1"/>
        </xdr:cNvPicPr>
      </xdr:nvPicPr>
      <xdr:blipFill>
        <a:blip r:embed="rId102">
          <a:extLst>
            <a:ext uri="{28A0092B-C50C-407E-A947-70E740481C1C}">
              <a14:useLocalDpi xmlns:a14="http://schemas.microsoft.com/office/drawing/2010/main" val="0"/>
            </a:ext>
          </a:extLst>
        </a:blip>
        <a:stretch>
          <a:fillRect/>
        </a:stretch>
      </xdr:blipFill>
      <xdr:spPr>
        <a:xfrm>
          <a:off x="5198110" y="126528830"/>
          <a:ext cx="612140" cy="834390"/>
        </a:xfrm>
        <a:prstGeom prst="rect">
          <a:avLst/>
        </a:prstGeom>
      </xdr:spPr>
    </xdr:pic>
    <xdr:clientData/>
  </xdr:twoCellAnchor>
  <xdr:twoCellAnchor>
    <xdr:from>
      <xdr:col>4</xdr:col>
      <xdr:colOff>366186</xdr:colOff>
      <xdr:row>116</xdr:row>
      <xdr:rowOff>29644</xdr:rowOff>
    </xdr:from>
    <xdr:to>
      <xdr:col>4</xdr:col>
      <xdr:colOff>1026093</xdr:colOff>
      <xdr:row>116</xdr:row>
      <xdr:rowOff>941294</xdr:rowOff>
    </xdr:to>
    <xdr:pic>
      <xdr:nvPicPr>
        <xdr:cNvPr id="106" name="image104.jpeg"/>
        <xdr:cNvPicPr>
          <a:picLocks noChangeAspect="1"/>
        </xdr:cNvPicPr>
      </xdr:nvPicPr>
      <xdr:blipFill>
        <a:blip r:embed="rId103">
          <a:extLst>
            <a:ext uri="{28A0092B-C50C-407E-A947-70E740481C1C}">
              <a14:useLocalDpi xmlns:a14="http://schemas.microsoft.com/office/drawing/2010/main" val="0"/>
            </a:ext>
          </a:extLst>
        </a:blip>
        <a:stretch>
          <a:fillRect/>
        </a:stretch>
      </xdr:blipFill>
      <xdr:spPr>
        <a:xfrm>
          <a:off x="5234940" y="112791875"/>
          <a:ext cx="659765" cy="911860"/>
        </a:xfrm>
        <a:prstGeom prst="rect">
          <a:avLst/>
        </a:prstGeom>
      </xdr:spPr>
    </xdr:pic>
    <xdr:clientData/>
  </xdr:twoCellAnchor>
  <xdr:twoCellAnchor>
    <xdr:from>
      <xdr:col>4</xdr:col>
      <xdr:colOff>366918</xdr:colOff>
      <xdr:row>115</xdr:row>
      <xdr:rowOff>31989</xdr:rowOff>
    </xdr:from>
    <xdr:to>
      <xdr:col>4</xdr:col>
      <xdr:colOff>1006722</xdr:colOff>
      <xdr:row>115</xdr:row>
      <xdr:rowOff>918883</xdr:rowOff>
    </xdr:to>
    <xdr:pic>
      <xdr:nvPicPr>
        <xdr:cNvPr id="107" name="image105.jpeg"/>
        <xdr:cNvPicPr>
          <a:picLocks noChangeAspect="1"/>
        </xdr:cNvPicPr>
      </xdr:nvPicPr>
      <xdr:blipFill>
        <a:blip r:embed="rId104">
          <a:extLst>
            <a:ext uri="{28A0092B-C50C-407E-A947-70E740481C1C}">
              <a14:useLocalDpi xmlns:a14="http://schemas.microsoft.com/office/drawing/2010/main" val="0"/>
            </a:ext>
          </a:extLst>
        </a:blip>
        <a:stretch>
          <a:fillRect/>
        </a:stretch>
      </xdr:blipFill>
      <xdr:spPr>
        <a:xfrm>
          <a:off x="5235575" y="111651415"/>
          <a:ext cx="640080" cy="887095"/>
        </a:xfrm>
        <a:prstGeom prst="rect">
          <a:avLst/>
        </a:prstGeom>
      </xdr:spPr>
    </xdr:pic>
    <xdr:clientData/>
  </xdr:twoCellAnchor>
  <xdr:twoCellAnchor>
    <xdr:from>
      <xdr:col>4</xdr:col>
      <xdr:colOff>360977</xdr:colOff>
      <xdr:row>117</xdr:row>
      <xdr:rowOff>48548</xdr:rowOff>
    </xdr:from>
    <xdr:to>
      <xdr:col>4</xdr:col>
      <xdr:colOff>1007994</xdr:colOff>
      <xdr:row>117</xdr:row>
      <xdr:rowOff>963705</xdr:rowOff>
    </xdr:to>
    <xdr:pic>
      <xdr:nvPicPr>
        <xdr:cNvPr id="108" name="image106.jpeg"/>
        <xdr:cNvPicPr>
          <a:picLocks noChangeAspect="1"/>
        </xdr:cNvPicPr>
      </xdr:nvPicPr>
      <xdr:blipFill>
        <a:blip r:embed="rId105">
          <a:extLst>
            <a:ext uri="{28A0092B-C50C-407E-A947-70E740481C1C}">
              <a14:useLocalDpi xmlns:a14="http://schemas.microsoft.com/office/drawing/2010/main" val="0"/>
            </a:ext>
          </a:extLst>
        </a:blip>
        <a:stretch>
          <a:fillRect/>
        </a:stretch>
      </xdr:blipFill>
      <xdr:spPr>
        <a:xfrm>
          <a:off x="5229860" y="113953925"/>
          <a:ext cx="647065" cy="915035"/>
        </a:xfrm>
        <a:prstGeom prst="rect">
          <a:avLst/>
        </a:prstGeom>
      </xdr:spPr>
    </xdr:pic>
    <xdr:clientData/>
  </xdr:twoCellAnchor>
  <xdr:twoCellAnchor>
    <xdr:from>
      <xdr:col>4</xdr:col>
      <xdr:colOff>430001</xdr:colOff>
      <xdr:row>129</xdr:row>
      <xdr:rowOff>45050</xdr:rowOff>
    </xdr:from>
    <xdr:to>
      <xdr:col>4</xdr:col>
      <xdr:colOff>1030941</xdr:colOff>
      <xdr:row>129</xdr:row>
      <xdr:rowOff>929381</xdr:rowOff>
    </xdr:to>
    <xdr:pic>
      <xdr:nvPicPr>
        <xdr:cNvPr id="109" name="image107.jpeg"/>
        <xdr:cNvPicPr>
          <a:picLocks noChangeAspect="1"/>
        </xdr:cNvPicPr>
      </xdr:nvPicPr>
      <xdr:blipFill>
        <a:blip r:embed="rId106">
          <a:extLst>
            <a:ext uri="{28A0092B-C50C-407E-A947-70E740481C1C}">
              <a14:useLocalDpi xmlns:a14="http://schemas.microsoft.com/office/drawing/2010/main" val="0"/>
            </a:ext>
          </a:extLst>
        </a:blip>
        <a:stretch>
          <a:fillRect/>
        </a:stretch>
      </xdr:blipFill>
      <xdr:spPr>
        <a:xfrm>
          <a:off x="5299075" y="127666115"/>
          <a:ext cx="600710" cy="884555"/>
        </a:xfrm>
        <a:prstGeom prst="rect">
          <a:avLst/>
        </a:prstGeom>
      </xdr:spPr>
    </xdr:pic>
    <xdr:clientData/>
  </xdr:twoCellAnchor>
  <xdr:twoCellAnchor>
    <xdr:from>
      <xdr:col>4</xdr:col>
      <xdr:colOff>384630</xdr:colOff>
      <xdr:row>131</xdr:row>
      <xdr:rowOff>87369</xdr:rowOff>
    </xdr:from>
    <xdr:to>
      <xdr:col>4</xdr:col>
      <xdr:colOff>1086913</xdr:colOff>
      <xdr:row>131</xdr:row>
      <xdr:rowOff>916481</xdr:rowOff>
    </xdr:to>
    <xdr:pic>
      <xdr:nvPicPr>
        <xdr:cNvPr id="110" name="image108.jpeg"/>
        <xdr:cNvPicPr>
          <a:picLocks noChangeAspect="1"/>
        </xdr:cNvPicPr>
      </xdr:nvPicPr>
      <xdr:blipFill>
        <a:blip r:embed="rId107">
          <a:extLst>
            <a:ext uri="{28A0092B-C50C-407E-A947-70E740481C1C}">
              <a14:useLocalDpi xmlns:a14="http://schemas.microsoft.com/office/drawing/2010/main" val="0"/>
            </a:ext>
          </a:extLst>
        </a:blip>
        <a:stretch>
          <a:fillRect/>
        </a:stretch>
      </xdr:blipFill>
      <xdr:spPr>
        <a:xfrm>
          <a:off x="5253355" y="129488565"/>
          <a:ext cx="702310" cy="829310"/>
        </a:xfrm>
        <a:prstGeom prst="rect">
          <a:avLst/>
        </a:prstGeom>
      </xdr:spPr>
    </xdr:pic>
    <xdr:clientData/>
  </xdr:twoCellAnchor>
  <xdr:twoCellAnchor>
    <xdr:from>
      <xdr:col>4</xdr:col>
      <xdr:colOff>333280</xdr:colOff>
      <xdr:row>132</xdr:row>
      <xdr:rowOff>87039</xdr:rowOff>
    </xdr:from>
    <xdr:to>
      <xdr:col>4</xdr:col>
      <xdr:colOff>964076</xdr:colOff>
      <xdr:row>132</xdr:row>
      <xdr:rowOff>952500</xdr:rowOff>
    </xdr:to>
    <xdr:pic>
      <xdr:nvPicPr>
        <xdr:cNvPr id="111" name="image109.jpeg"/>
        <xdr:cNvPicPr>
          <a:picLocks noChangeAspect="1"/>
        </xdr:cNvPicPr>
      </xdr:nvPicPr>
      <xdr:blipFill>
        <a:blip r:embed="rId108">
          <a:extLst>
            <a:ext uri="{28A0092B-C50C-407E-A947-70E740481C1C}">
              <a14:useLocalDpi xmlns:a14="http://schemas.microsoft.com/office/drawing/2010/main" val="0"/>
            </a:ext>
          </a:extLst>
        </a:blip>
        <a:stretch>
          <a:fillRect/>
        </a:stretch>
      </xdr:blipFill>
      <xdr:spPr>
        <a:xfrm>
          <a:off x="5201920" y="130506470"/>
          <a:ext cx="631190" cy="865505"/>
        </a:xfrm>
        <a:prstGeom prst="rect">
          <a:avLst/>
        </a:prstGeom>
      </xdr:spPr>
    </xdr:pic>
    <xdr:clientData/>
  </xdr:twoCellAnchor>
  <xdr:twoCellAnchor>
    <xdr:from>
      <xdr:col>4</xdr:col>
      <xdr:colOff>376455</xdr:colOff>
      <xdr:row>133</xdr:row>
      <xdr:rowOff>40464</xdr:rowOff>
    </xdr:from>
    <xdr:to>
      <xdr:col>4</xdr:col>
      <xdr:colOff>1001434</xdr:colOff>
      <xdr:row>133</xdr:row>
      <xdr:rowOff>907675</xdr:rowOff>
    </xdr:to>
    <xdr:pic>
      <xdr:nvPicPr>
        <xdr:cNvPr id="112" name="image110.jpeg"/>
        <xdr:cNvPicPr>
          <a:picLocks noChangeAspect="1"/>
        </xdr:cNvPicPr>
      </xdr:nvPicPr>
      <xdr:blipFill>
        <a:blip r:embed="rId109">
          <a:extLst>
            <a:ext uri="{28A0092B-C50C-407E-A947-70E740481C1C}">
              <a14:useLocalDpi xmlns:a14="http://schemas.microsoft.com/office/drawing/2010/main" val="0"/>
            </a:ext>
          </a:extLst>
        </a:blip>
        <a:stretch>
          <a:fillRect/>
        </a:stretch>
      </xdr:blipFill>
      <xdr:spPr>
        <a:xfrm>
          <a:off x="5245100" y="131477385"/>
          <a:ext cx="625475" cy="867410"/>
        </a:xfrm>
        <a:prstGeom prst="rect">
          <a:avLst/>
        </a:prstGeom>
      </xdr:spPr>
    </xdr:pic>
    <xdr:clientData/>
  </xdr:twoCellAnchor>
  <xdr:twoCellAnchor>
    <xdr:from>
      <xdr:col>4</xdr:col>
      <xdr:colOff>388620</xdr:colOff>
      <xdr:row>134</xdr:row>
      <xdr:rowOff>21704</xdr:rowOff>
    </xdr:from>
    <xdr:to>
      <xdr:col>4</xdr:col>
      <xdr:colOff>1095152</xdr:colOff>
      <xdr:row>134</xdr:row>
      <xdr:rowOff>918882</xdr:rowOff>
    </xdr:to>
    <xdr:pic>
      <xdr:nvPicPr>
        <xdr:cNvPr id="113" name="image111.jpeg"/>
        <xdr:cNvPicPr>
          <a:picLocks noChangeAspect="1"/>
        </xdr:cNvPicPr>
      </xdr:nvPicPr>
      <xdr:blipFill>
        <a:blip r:embed="rId110">
          <a:extLst>
            <a:ext uri="{28A0092B-C50C-407E-A947-70E740481C1C}">
              <a14:useLocalDpi xmlns:a14="http://schemas.microsoft.com/office/drawing/2010/main" val="0"/>
            </a:ext>
          </a:extLst>
        </a:blip>
        <a:stretch>
          <a:fillRect/>
        </a:stretch>
      </xdr:blipFill>
      <xdr:spPr>
        <a:xfrm>
          <a:off x="5257800" y="132476875"/>
          <a:ext cx="706120" cy="897255"/>
        </a:xfrm>
        <a:prstGeom prst="rect">
          <a:avLst/>
        </a:prstGeom>
      </xdr:spPr>
    </xdr:pic>
    <xdr:clientData/>
  </xdr:twoCellAnchor>
  <xdr:twoCellAnchor>
    <xdr:from>
      <xdr:col>4</xdr:col>
      <xdr:colOff>399668</xdr:colOff>
      <xdr:row>135</xdr:row>
      <xdr:rowOff>35877</xdr:rowOff>
    </xdr:from>
    <xdr:to>
      <xdr:col>4</xdr:col>
      <xdr:colOff>1089858</xdr:colOff>
      <xdr:row>135</xdr:row>
      <xdr:rowOff>874059</xdr:rowOff>
    </xdr:to>
    <xdr:pic>
      <xdr:nvPicPr>
        <xdr:cNvPr id="114" name="image112.jpeg"/>
        <xdr:cNvPicPr>
          <a:picLocks noChangeAspect="1"/>
        </xdr:cNvPicPr>
      </xdr:nvPicPr>
      <xdr:blipFill>
        <a:blip r:embed="rId111">
          <a:extLst>
            <a:ext uri="{28A0092B-C50C-407E-A947-70E740481C1C}">
              <a14:useLocalDpi xmlns:a14="http://schemas.microsoft.com/office/drawing/2010/main" val="0"/>
            </a:ext>
          </a:extLst>
        </a:blip>
        <a:stretch>
          <a:fillRect/>
        </a:stretch>
      </xdr:blipFill>
      <xdr:spPr>
        <a:xfrm>
          <a:off x="5268595" y="133508750"/>
          <a:ext cx="690245" cy="838200"/>
        </a:xfrm>
        <a:prstGeom prst="rect">
          <a:avLst/>
        </a:prstGeom>
      </xdr:spPr>
    </xdr:pic>
    <xdr:clientData/>
  </xdr:twoCellAnchor>
  <xdr:twoCellAnchor>
    <xdr:from>
      <xdr:col>4</xdr:col>
      <xdr:colOff>331566</xdr:colOff>
      <xdr:row>136</xdr:row>
      <xdr:rowOff>88493</xdr:rowOff>
    </xdr:from>
    <xdr:to>
      <xdr:col>4</xdr:col>
      <xdr:colOff>1090501</xdr:colOff>
      <xdr:row>136</xdr:row>
      <xdr:rowOff>986117</xdr:rowOff>
    </xdr:to>
    <xdr:pic>
      <xdr:nvPicPr>
        <xdr:cNvPr id="115" name="image113.jpeg"/>
        <xdr:cNvPicPr>
          <a:picLocks noChangeAspect="1"/>
        </xdr:cNvPicPr>
      </xdr:nvPicPr>
      <xdr:blipFill>
        <a:blip r:embed="rId112">
          <a:extLst>
            <a:ext uri="{28A0092B-C50C-407E-A947-70E740481C1C}">
              <a14:useLocalDpi xmlns:a14="http://schemas.microsoft.com/office/drawing/2010/main" val="0"/>
            </a:ext>
          </a:extLst>
        </a:blip>
        <a:stretch>
          <a:fillRect/>
        </a:stretch>
      </xdr:blipFill>
      <xdr:spPr>
        <a:xfrm>
          <a:off x="5200650" y="134579360"/>
          <a:ext cx="758825" cy="897255"/>
        </a:xfrm>
        <a:prstGeom prst="rect">
          <a:avLst/>
        </a:prstGeom>
      </xdr:spPr>
    </xdr:pic>
    <xdr:clientData/>
  </xdr:twoCellAnchor>
  <xdr:twoCellAnchor>
    <xdr:from>
      <xdr:col>4</xdr:col>
      <xdr:colOff>342309</xdr:colOff>
      <xdr:row>137</xdr:row>
      <xdr:rowOff>75356</xdr:rowOff>
    </xdr:from>
    <xdr:to>
      <xdr:col>4</xdr:col>
      <xdr:colOff>998587</xdr:colOff>
      <xdr:row>137</xdr:row>
      <xdr:rowOff>952500</xdr:rowOff>
    </xdr:to>
    <xdr:pic>
      <xdr:nvPicPr>
        <xdr:cNvPr id="116" name="image114.jpeg"/>
        <xdr:cNvPicPr>
          <a:picLocks noChangeAspect="1"/>
        </xdr:cNvPicPr>
      </xdr:nvPicPr>
      <xdr:blipFill>
        <a:blip r:embed="rId113">
          <a:extLst>
            <a:ext uri="{28A0092B-C50C-407E-A947-70E740481C1C}">
              <a14:useLocalDpi xmlns:a14="http://schemas.microsoft.com/office/drawing/2010/main" val="0"/>
            </a:ext>
          </a:extLst>
        </a:blip>
        <a:stretch>
          <a:fillRect/>
        </a:stretch>
      </xdr:blipFill>
      <xdr:spPr>
        <a:xfrm>
          <a:off x="5211445" y="135583930"/>
          <a:ext cx="655955" cy="877570"/>
        </a:xfrm>
        <a:prstGeom prst="rect">
          <a:avLst/>
        </a:prstGeom>
      </xdr:spPr>
    </xdr:pic>
    <xdr:clientData/>
  </xdr:twoCellAnchor>
  <xdr:twoCellAnchor>
    <xdr:from>
      <xdr:col>4</xdr:col>
      <xdr:colOff>373262</xdr:colOff>
      <xdr:row>138</xdr:row>
      <xdr:rowOff>62225</xdr:rowOff>
    </xdr:from>
    <xdr:to>
      <xdr:col>4</xdr:col>
      <xdr:colOff>1025111</xdr:colOff>
      <xdr:row>138</xdr:row>
      <xdr:rowOff>907676</xdr:rowOff>
    </xdr:to>
    <xdr:pic>
      <xdr:nvPicPr>
        <xdr:cNvPr id="117" name="image115.jpeg"/>
        <xdr:cNvPicPr>
          <a:picLocks noChangeAspect="1"/>
        </xdr:cNvPicPr>
      </xdr:nvPicPr>
      <xdr:blipFill>
        <a:blip r:embed="rId114">
          <a:extLst>
            <a:ext uri="{28A0092B-C50C-407E-A947-70E740481C1C}">
              <a14:useLocalDpi xmlns:a14="http://schemas.microsoft.com/office/drawing/2010/main" val="0"/>
            </a:ext>
          </a:extLst>
        </a:blip>
        <a:stretch>
          <a:fillRect/>
        </a:stretch>
      </xdr:blipFill>
      <xdr:spPr>
        <a:xfrm>
          <a:off x="5241925" y="136588500"/>
          <a:ext cx="652145" cy="845820"/>
        </a:xfrm>
        <a:prstGeom prst="rect">
          <a:avLst/>
        </a:prstGeom>
      </xdr:spPr>
    </xdr:pic>
    <xdr:clientData/>
  </xdr:twoCellAnchor>
  <xdr:twoCellAnchor>
    <xdr:from>
      <xdr:col>4</xdr:col>
      <xdr:colOff>356577</xdr:colOff>
      <xdr:row>139</xdr:row>
      <xdr:rowOff>21468</xdr:rowOff>
    </xdr:from>
    <xdr:to>
      <xdr:col>4</xdr:col>
      <xdr:colOff>1100101</xdr:colOff>
      <xdr:row>139</xdr:row>
      <xdr:rowOff>986118</xdr:rowOff>
    </xdr:to>
    <xdr:pic>
      <xdr:nvPicPr>
        <xdr:cNvPr id="118" name="image116.jpeg"/>
        <xdr:cNvPicPr>
          <a:picLocks noChangeAspect="1"/>
        </xdr:cNvPicPr>
      </xdr:nvPicPr>
      <xdr:blipFill>
        <a:blip r:embed="rId115">
          <a:extLst>
            <a:ext uri="{28A0092B-C50C-407E-A947-70E740481C1C}">
              <a14:useLocalDpi xmlns:a14="http://schemas.microsoft.com/office/drawing/2010/main" val="0"/>
            </a:ext>
          </a:extLst>
        </a:blip>
        <a:stretch>
          <a:fillRect/>
        </a:stretch>
      </xdr:blipFill>
      <xdr:spPr>
        <a:xfrm>
          <a:off x="5225415" y="137565765"/>
          <a:ext cx="743585" cy="964565"/>
        </a:xfrm>
        <a:prstGeom prst="rect">
          <a:avLst/>
        </a:prstGeom>
      </xdr:spPr>
    </xdr:pic>
    <xdr:clientData/>
  </xdr:twoCellAnchor>
  <xdr:twoCellAnchor>
    <xdr:from>
      <xdr:col>4</xdr:col>
      <xdr:colOff>360918</xdr:colOff>
      <xdr:row>140</xdr:row>
      <xdr:rowOff>81643</xdr:rowOff>
    </xdr:from>
    <xdr:to>
      <xdr:col>4</xdr:col>
      <xdr:colOff>963706</xdr:colOff>
      <xdr:row>140</xdr:row>
      <xdr:rowOff>971507</xdr:rowOff>
    </xdr:to>
    <xdr:pic>
      <xdr:nvPicPr>
        <xdr:cNvPr id="119" name="image117.jpeg"/>
        <xdr:cNvPicPr>
          <a:picLocks noChangeAspect="1"/>
        </xdr:cNvPicPr>
      </xdr:nvPicPr>
      <xdr:blipFill>
        <a:blip r:embed="rId116">
          <a:extLst>
            <a:ext uri="{28A0092B-C50C-407E-A947-70E740481C1C}">
              <a14:useLocalDpi xmlns:a14="http://schemas.microsoft.com/office/drawing/2010/main" val="0"/>
            </a:ext>
          </a:extLst>
        </a:blip>
        <a:stretch>
          <a:fillRect/>
        </a:stretch>
      </xdr:blipFill>
      <xdr:spPr>
        <a:xfrm>
          <a:off x="5229860" y="138643995"/>
          <a:ext cx="602615" cy="889635"/>
        </a:xfrm>
        <a:prstGeom prst="rect">
          <a:avLst/>
        </a:prstGeom>
      </xdr:spPr>
    </xdr:pic>
    <xdr:clientData/>
  </xdr:twoCellAnchor>
  <xdr:twoCellAnchor>
    <xdr:from>
      <xdr:col>4</xdr:col>
      <xdr:colOff>349712</xdr:colOff>
      <xdr:row>141</xdr:row>
      <xdr:rowOff>43863</xdr:rowOff>
    </xdr:from>
    <xdr:to>
      <xdr:col>4</xdr:col>
      <xdr:colOff>964253</xdr:colOff>
      <xdr:row>141</xdr:row>
      <xdr:rowOff>974912</xdr:rowOff>
    </xdr:to>
    <xdr:pic>
      <xdr:nvPicPr>
        <xdr:cNvPr id="120" name="image118.jpeg"/>
        <xdr:cNvPicPr>
          <a:picLocks noChangeAspect="1"/>
        </xdr:cNvPicPr>
      </xdr:nvPicPr>
      <xdr:blipFill>
        <a:blip r:embed="rId117">
          <a:extLst>
            <a:ext uri="{28A0092B-C50C-407E-A947-70E740481C1C}">
              <a14:useLocalDpi xmlns:a14="http://schemas.microsoft.com/office/drawing/2010/main" val="0"/>
            </a:ext>
          </a:extLst>
        </a:blip>
        <a:stretch>
          <a:fillRect/>
        </a:stretch>
      </xdr:blipFill>
      <xdr:spPr>
        <a:xfrm>
          <a:off x="5218430" y="139624435"/>
          <a:ext cx="614680" cy="930910"/>
        </a:xfrm>
        <a:prstGeom prst="rect">
          <a:avLst/>
        </a:prstGeom>
      </xdr:spPr>
    </xdr:pic>
    <xdr:clientData/>
  </xdr:twoCellAnchor>
  <xdr:twoCellAnchor>
    <xdr:from>
      <xdr:col>4</xdr:col>
      <xdr:colOff>405594</xdr:colOff>
      <xdr:row>142</xdr:row>
      <xdr:rowOff>75909</xdr:rowOff>
    </xdr:from>
    <xdr:to>
      <xdr:col>4</xdr:col>
      <xdr:colOff>994863</xdr:colOff>
      <xdr:row>142</xdr:row>
      <xdr:rowOff>986119</xdr:rowOff>
    </xdr:to>
    <xdr:pic>
      <xdr:nvPicPr>
        <xdr:cNvPr id="121" name="image119.jpeg"/>
        <xdr:cNvPicPr>
          <a:picLocks noChangeAspect="1"/>
        </xdr:cNvPicPr>
      </xdr:nvPicPr>
      <xdr:blipFill>
        <a:blip r:embed="rId118">
          <a:extLst>
            <a:ext uri="{28A0092B-C50C-407E-A947-70E740481C1C}">
              <a14:useLocalDpi xmlns:a14="http://schemas.microsoft.com/office/drawing/2010/main" val="0"/>
            </a:ext>
          </a:extLst>
        </a:blip>
        <a:stretch>
          <a:fillRect/>
        </a:stretch>
      </xdr:blipFill>
      <xdr:spPr>
        <a:xfrm>
          <a:off x="5274310" y="140674090"/>
          <a:ext cx="589280" cy="909955"/>
        </a:xfrm>
        <a:prstGeom prst="rect">
          <a:avLst/>
        </a:prstGeom>
      </xdr:spPr>
    </xdr:pic>
    <xdr:clientData/>
  </xdr:twoCellAnchor>
  <xdr:twoCellAnchor>
    <xdr:from>
      <xdr:col>4</xdr:col>
      <xdr:colOff>403550</xdr:colOff>
      <xdr:row>143</xdr:row>
      <xdr:rowOff>50300</xdr:rowOff>
    </xdr:from>
    <xdr:to>
      <xdr:col>4</xdr:col>
      <xdr:colOff>1008529</xdr:colOff>
      <xdr:row>143</xdr:row>
      <xdr:rowOff>974510</xdr:rowOff>
    </xdr:to>
    <xdr:pic>
      <xdr:nvPicPr>
        <xdr:cNvPr id="122" name="image120.jpeg"/>
        <xdr:cNvPicPr>
          <a:picLocks noChangeAspect="1"/>
        </xdr:cNvPicPr>
      </xdr:nvPicPr>
      <xdr:blipFill>
        <a:blip r:embed="rId119">
          <a:extLst>
            <a:ext uri="{28A0092B-C50C-407E-A947-70E740481C1C}">
              <a14:useLocalDpi xmlns:a14="http://schemas.microsoft.com/office/drawing/2010/main" val="0"/>
            </a:ext>
          </a:extLst>
        </a:blip>
        <a:stretch>
          <a:fillRect/>
        </a:stretch>
      </xdr:blipFill>
      <xdr:spPr>
        <a:xfrm>
          <a:off x="5272405" y="141666595"/>
          <a:ext cx="605155" cy="923925"/>
        </a:xfrm>
        <a:prstGeom prst="rect">
          <a:avLst/>
        </a:prstGeom>
      </xdr:spPr>
    </xdr:pic>
    <xdr:clientData/>
  </xdr:twoCellAnchor>
  <xdr:twoCellAnchor>
    <xdr:from>
      <xdr:col>4</xdr:col>
      <xdr:colOff>378489</xdr:colOff>
      <xdr:row>144</xdr:row>
      <xdr:rowOff>62836</xdr:rowOff>
    </xdr:from>
    <xdr:to>
      <xdr:col>4</xdr:col>
      <xdr:colOff>952498</xdr:colOff>
      <xdr:row>144</xdr:row>
      <xdr:rowOff>979493</xdr:rowOff>
    </xdr:to>
    <xdr:pic>
      <xdr:nvPicPr>
        <xdr:cNvPr id="123" name="image121.jpeg"/>
        <xdr:cNvPicPr>
          <a:picLocks noChangeAspect="1"/>
        </xdr:cNvPicPr>
      </xdr:nvPicPr>
      <xdr:blipFill>
        <a:blip r:embed="rId120">
          <a:extLst>
            <a:ext uri="{28A0092B-C50C-407E-A947-70E740481C1C}">
              <a14:useLocalDpi xmlns:a14="http://schemas.microsoft.com/office/drawing/2010/main" val="0"/>
            </a:ext>
          </a:extLst>
        </a:blip>
        <a:stretch>
          <a:fillRect/>
        </a:stretch>
      </xdr:blipFill>
      <xdr:spPr>
        <a:xfrm>
          <a:off x="5247640" y="142696565"/>
          <a:ext cx="573405" cy="916940"/>
        </a:xfrm>
        <a:prstGeom prst="rect">
          <a:avLst/>
        </a:prstGeom>
      </xdr:spPr>
    </xdr:pic>
    <xdr:clientData/>
  </xdr:twoCellAnchor>
  <xdr:twoCellAnchor>
    <xdr:from>
      <xdr:col>4</xdr:col>
      <xdr:colOff>367575</xdr:colOff>
      <xdr:row>145</xdr:row>
      <xdr:rowOff>60130</xdr:rowOff>
    </xdr:from>
    <xdr:to>
      <xdr:col>4</xdr:col>
      <xdr:colOff>946711</xdr:colOff>
      <xdr:row>145</xdr:row>
      <xdr:rowOff>963705</xdr:rowOff>
    </xdr:to>
    <xdr:pic>
      <xdr:nvPicPr>
        <xdr:cNvPr id="124" name="image122.jpeg"/>
        <xdr:cNvPicPr>
          <a:picLocks noChangeAspect="1"/>
        </xdr:cNvPicPr>
      </xdr:nvPicPr>
      <xdr:blipFill>
        <a:blip r:embed="rId121">
          <a:extLst>
            <a:ext uri="{28A0092B-C50C-407E-A947-70E740481C1C}">
              <a14:useLocalDpi xmlns:a14="http://schemas.microsoft.com/office/drawing/2010/main" val="0"/>
            </a:ext>
          </a:extLst>
        </a:blip>
        <a:stretch>
          <a:fillRect/>
        </a:stretch>
      </xdr:blipFill>
      <xdr:spPr>
        <a:xfrm>
          <a:off x="5236210" y="143711930"/>
          <a:ext cx="579120" cy="903605"/>
        </a:xfrm>
        <a:prstGeom prst="rect">
          <a:avLst/>
        </a:prstGeom>
      </xdr:spPr>
    </xdr:pic>
    <xdr:clientData/>
  </xdr:twoCellAnchor>
  <xdr:twoCellAnchor>
    <xdr:from>
      <xdr:col>4</xdr:col>
      <xdr:colOff>383040</xdr:colOff>
      <xdr:row>146</xdr:row>
      <xdr:rowOff>123233</xdr:rowOff>
    </xdr:from>
    <xdr:to>
      <xdr:col>4</xdr:col>
      <xdr:colOff>1018676</xdr:colOff>
      <xdr:row>146</xdr:row>
      <xdr:rowOff>952500</xdr:rowOff>
    </xdr:to>
    <xdr:pic>
      <xdr:nvPicPr>
        <xdr:cNvPr id="125" name="image123.jpeg"/>
        <xdr:cNvPicPr>
          <a:picLocks noChangeAspect="1"/>
        </xdr:cNvPicPr>
      </xdr:nvPicPr>
      <xdr:blipFill>
        <a:blip r:embed="rId122">
          <a:extLst>
            <a:ext uri="{28A0092B-C50C-407E-A947-70E740481C1C}">
              <a14:useLocalDpi xmlns:a14="http://schemas.microsoft.com/office/drawing/2010/main" val="0"/>
            </a:ext>
          </a:extLst>
        </a:blip>
        <a:stretch>
          <a:fillRect/>
        </a:stretch>
      </xdr:blipFill>
      <xdr:spPr>
        <a:xfrm>
          <a:off x="5252085" y="144793335"/>
          <a:ext cx="635635" cy="829310"/>
        </a:xfrm>
        <a:prstGeom prst="rect">
          <a:avLst/>
        </a:prstGeom>
      </xdr:spPr>
    </xdr:pic>
    <xdr:clientData/>
  </xdr:twoCellAnchor>
  <xdr:twoCellAnchor>
    <xdr:from>
      <xdr:col>4</xdr:col>
      <xdr:colOff>319744</xdr:colOff>
      <xdr:row>149</xdr:row>
      <xdr:rowOff>112967</xdr:rowOff>
    </xdr:from>
    <xdr:to>
      <xdr:col>4</xdr:col>
      <xdr:colOff>1123146</xdr:colOff>
      <xdr:row>149</xdr:row>
      <xdr:rowOff>952500</xdr:rowOff>
    </xdr:to>
    <xdr:pic>
      <xdr:nvPicPr>
        <xdr:cNvPr id="126" name="image124.jpeg"/>
        <xdr:cNvPicPr>
          <a:picLocks noChangeAspect="1"/>
        </xdr:cNvPicPr>
      </xdr:nvPicPr>
      <xdr:blipFill>
        <a:blip r:embed="rId123">
          <a:extLst>
            <a:ext uri="{28A0092B-C50C-407E-A947-70E740481C1C}">
              <a14:useLocalDpi xmlns:a14="http://schemas.microsoft.com/office/drawing/2010/main" val="0"/>
            </a:ext>
          </a:extLst>
        </a:blip>
        <a:stretch>
          <a:fillRect/>
        </a:stretch>
      </xdr:blipFill>
      <xdr:spPr>
        <a:xfrm>
          <a:off x="5188585" y="147455255"/>
          <a:ext cx="803275" cy="840105"/>
        </a:xfrm>
        <a:prstGeom prst="rect">
          <a:avLst/>
        </a:prstGeom>
      </xdr:spPr>
    </xdr:pic>
    <xdr:clientData/>
  </xdr:twoCellAnchor>
  <xdr:twoCellAnchor>
    <xdr:from>
      <xdr:col>4</xdr:col>
      <xdr:colOff>302335</xdr:colOff>
      <xdr:row>150</xdr:row>
      <xdr:rowOff>65024</xdr:rowOff>
    </xdr:from>
    <xdr:to>
      <xdr:col>4</xdr:col>
      <xdr:colOff>1126263</xdr:colOff>
      <xdr:row>150</xdr:row>
      <xdr:rowOff>941295</xdr:rowOff>
    </xdr:to>
    <xdr:pic>
      <xdr:nvPicPr>
        <xdr:cNvPr id="127" name="image125.jpeg"/>
        <xdr:cNvPicPr>
          <a:picLocks noChangeAspect="1"/>
        </xdr:cNvPicPr>
      </xdr:nvPicPr>
      <xdr:blipFill>
        <a:blip r:embed="rId124">
          <a:extLst>
            <a:ext uri="{28A0092B-C50C-407E-A947-70E740481C1C}">
              <a14:useLocalDpi xmlns:a14="http://schemas.microsoft.com/office/drawing/2010/main" val="0"/>
            </a:ext>
          </a:extLst>
        </a:blip>
        <a:stretch>
          <a:fillRect/>
        </a:stretch>
      </xdr:blipFill>
      <xdr:spPr>
        <a:xfrm>
          <a:off x="5171440" y="148425535"/>
          <a:ext cx="823595" cy="876300"/>
        </a:xfrm>
        <a:prstGeom prst="rect">
          <a:avLst/>
        </a:prstGeom>
      </xdr:spPr>
    </xdr:pic>
    <xdr:clientData/>
  </xdr:twoCellAnchor>
  <xdr:twoCellAnchor>
    <xdr:from>
      <xdr:col>4</xdr:col>
      <xdr:colOff>329981</xdr:colOff>
      <xdr:row>151</xdr:row>
      <xdr:rowOff>52454</xdr:rowOff>
    </xdr:from>
    <xdr:to>
      <xdr:col>4</xdr:col>
      <xdr:colOff>1067465</xdr:colOff>
      <xdr:row>151</xdr:row>
      <xdr:rowOff>941294</xdr:rowOff>
    </xdr:to>
    <xdr:pic>
      <xdr:nvPicPr>
        <xdr:cNvPr id="128" name="image126.jpeg"/>
        <xdr:cNvPicPr>
          <a:picLocks noChangeAspect="1"/>
        </xdr:cNvPicPr>
      </xdr:nvPicPr>
      <xdr:blipFill>
        <a:blip r:embed="rId125">
          <a:extLst>
            <a:ext uri="{28A0092B-C50C-407E-A947-70E740481C1C}">
              <a14:useLocalDpi xmlns:a14="http://schemas.microsoft.com/office/drawing/2010/main" val="0"/>
            </a:ext>
          </a:extLst>
        </a:blip>
        <a:stretch>
          <a:fillRect/>
        </a:stretch>
      </xdr:blipFill>
      <xdr:spPr>
        <a:xfrm>
          <a:off x="5198745" y="149430740"/>
          <a:ext cx="737870" cy="889000"/>
        </a:xfrm>
        <a:prstGeom prst="rect">
          <a:avLst/>
        </a:prstGeom>
      </xdr:spPr>
    </xdr:pic>
    <xdr:clientData/>
  </xdr:twoCellAnchor>
  <xdr:twoCellAnchor>
    <xdr:from>
      <xdr:col>4</xdr:col>
      <xdr:colOff>262734</xdr:colOff>
      <xdr:row>152</xdr:row>
      <xdr:rowOff>85914</xdr:rowOff>
    </xdr:from>
    <xdr:to>
      <xdr:col>4</xdr:col>
      <xdr:colOff>1107770</xdr:colOff>
      <xdr:row>152</xdr:row>
      <xdr:rowOff>930089</xdr:rowOff>
    </xdr:to>
    <xdr:pic>
      <xdr:nvPicPr>
        <xdr:cNvPr id="129" name="image127.jpeg"/>
        <xdr:cNvPicPr>
          <a:picLocks noChangeAspect="1"/>
        </xdr:cNvPicPr>
      </xdr:nvPicPr>
      <xdr:blipFill>
        <a:blip r:embed="rId126">
          <a:extLst>
            <a:ext uri="{28A0092B-C50C-407E-A947-70E740481C1C}">
              <a14:useLocalDpi xmlns:a14="http://schemas.microsoft.com/office/drawing/2010/main" val="0"/>
            </a:ext>
          </a:extLst>
        </a:blip>
        <a:stretch>
          <a:fillRect/>
        </a:stretch>
      </xdr:blipFill>
      <xdr:spPr>
        <a:xfrm>
          <a:off x="5131435" y="150482300"/>
          <a:ext cx="845185" cy="843915"/>
        </a:xfrm>
        <a:prstGeom prst="rect">
          <a:avLst/>
        </a:prstGeom>
      </xdr:spPr>
    </xdr:pic>
    <xdr:clientData/>
  </xdr:twoCellAnchor>
  <xdr:twoCellAnchor>
    <xdr:from>
      <xdr:col>4</xdr:col>
      <xdr:colOff>273248</xdr:colOff>
      <xdr:row>153</xdr:row>
      <xdr:rowOff>81855</xdr:rowOff>
    </xdr:from>
    <xdr:to>
      <xdr:col>4</xdr:col>
      <xdr:colOff>1061133</xdr:colOff>
      <xdr:row>153</xdr:row>
      <xdr:rowOff>885265</xdr:rowOff>
    </xdr:to>
    <xdr:pic>
      <xdr:nvPicPr>
        <xdr:cNvPr id="130" name="image128.jpeg"/>
        <xdr:cNvPicPr>
          <a:picLocks noChangeAspect="1"/>
        </xdr:cNvPicPr>
      </xdr:nvPicPr>
      <xdr:blipFill>
        <a:blip r:embed="rId127">
          <a:extLst>
            <a:ext uri="{28A0092B-C50C-407E-A947-70E740481C1C}">
              <a14:useLocalDpi xmlns:a14="http://schemas.microsoft.com/office/drawing/2010/main" val="0"/>
            </a:ext>
          </a:extLst>
        </a:blip>
        <a:stretch>
          <a:fillRect/>
        </a:stretch>
      </xdr:blipFill>
      <xdr:spPr>
        <a:xfrm>
          <a:off x="5142230" y="151495760"/>
          <a:ext cx="788035" cy="803910"/>
        </a:xfrm>
        <a:prstGeom prst="rect">
          <a:avLst/>
        </a:prstGeom>
      </xdr:spPr>
    </xdr:pic>
    <xdr:clientData/>
  </xdr:twoCellAnchor>
  <xdr:twoCellAnchor>
    <xdr:from>
      <xdr:col>4</xdr:col>
      <xdr:colOff>333000</xdr:colOff>
      <xdr:row>155</xdr:row>
      <xdr:rowOff>45190</xdr:rowOff>
    </xdr:from>
    <xdr:to>
      <xdr:col>4</xdr:col>
      <xdr:colOff>952500</xdr:colOff>
      <xdr:row>155</xdr:row>
      <xdr:rowOff>897219</xdr:rowOff>
    </xdr:to>
    <xdr:pic>
      <xdr:nvPicPr>
        <xdr:cNvPr id="131" name="image129.jpeg"/>
        <xdr:cNvPicPr>
          <a:picLocks noChangeAspect="1"/>
        </xdr:cNvPicPr>
      </xdr:nvPicPr>
      <xdr:blipFill>
        <a:blip r:embed="rId128">
          <a:extLst>
            <a:ext uri="{28A0092B-C50C-407E-A947-70E740481C1C}">
              <a14:useLocalDpi xmlns:a14="http://schemas.microsoft.com/office/drawing/2010/main" val="0"/>
            </a:ext>
          </a:extLst>
        </a:blip>
        <a:stretch>
          <a:fillRect/>
        </a:stretch>
      </xdr:blipFill>
      <xdr:spPr>
        <a:xfrm>
          <a:off x="5201920" y="153114375"/>
          <a:ext cx="619760" cy="851535"/>
        </a:xfrm>
        <a:prstGeom prst="rect">
          <a:avLst/>
        </a:prstGeom>
      </xdr:spPr>
    </xdr:pic>
    <xdr:clientData/>
  </xdr:twoCellAnchor>
  <xdr:twoCellAnchor>
    <xdr:from>
      <xdr:col>4</xdr:col>
      <xdr:colOff>316147</xdr:colOff>
      <xdr:row>157</xdr:row>
      <xdr:rowOff>90827</xdr:rowOff>
    </xdr:from>
    <xdr:to>
      <xdr:col>4</xdr:col>
      <xdr:colOff>1030941</xdr:colOff>
      <xdr:row>157</xdr:row>
      <xdr:rowOff>986516</xdr:rowOff>
    </xdr:to>
    <xdr:pic>
      <xdr:nvPicPr>
        <xdr:cNvPr id="132" name="image130.jpeg"/>
        <xdr:cNvPicPr>
          <a:picLocks noChangeAspect="1"/>
        </xdr:cNvPicPr>
      </xdr:nvPicPr>
      <xdr:blipFill>
        <a:blip r:embed="rId129">
          <a:extLst>
            <a:ext uri="{28A0092B-C50C-407E-A947-70E740481C1C}">
              <a14:useLocalDpi xmlns:a14="http://schemas.microsoft.com/office/drawing/2010/main" val="0"/>
            </a:ext>
          </a:extLst>
        </a:blip>
        <a:stretch>
          <a:fillRect/>
        </a:stretch>
      </xdr:blipFill>
      <xdr:spPr>
        <a:xfrm>
          <a:off x="5184775" y="154814905"/>
          <a:ext cx="715010" cy="895350"/>
        </a:xfrm>
        <a:prstGeom prst="rect">
          <a:avLst/>
        </a:prstGeom>
      </xdr:spPr>
    </xdr:pic>
    <xdr:clientData/>
  </xdr:twoCellAnchor>
  <xdr:twoCellAnchor>
    <xdr:from>
      <xdr:col>4</xdr:col>
      <xdr:colOff>312689</xdr:colOff>
      <xdr:row>159</xdr:row>
      <xdr:rowOff>52100</xdr:rowOff>
    </xdr:from>
    <xdr:to>
      <xdr:col>4</xdr:col>
      <xdr:colOff>950167</xdr:colOff>
      <xdr:row>159</xdr:row>
      <xdr:rowOff>918882</xdr:rowOff>
    </xdr:to>
    <xdr:pic>
      <xdr:nvPicPr>
        <xdr:cNvPr id="133" name="image131.jpeg"/>
        <xdr:cNvPicPr>
          <a:picLocks noChangeAspect="1"/>
        </xdr:cNvPicPr>
      </xdr:nvPicPr>
      <xdr:blipFill>
        <a:blip r:embed="rId130">
          <a:extLst>
            <a:ext uri="{28A0092B-C50C-407E-A947-70E740481C1C}">
              <a14:useLocalDpi xmlns:a14="http://schemas.microsoft.com/office/drawing/2010/main" val="0"/>
            </a:ext>
          </a:extLst>
        </a:blip>
        <a:stretch>
          <a:fillRect/>
        </a:stretch>
      </xdr:blipFill>
      <xdr:spPr>
        <a:xfrm>
          <a:off x="5181600" y="156430980"/>
          <a:ext cx="637540" cy="866775"/>
        </a:xfrm>
        <a:prstGeom prst="rect">
          <a:avLst/>
        </a:prstGeom>
      </xdr:spPr>
    </xdr:pic>
    <xdr:clientData/>
  </xdr:twoCellAnchor>
  <xdr:twoCellAnchor>
    <xdr:from>
      <xdr:col>4</xdr:col>
      <xdr:colOff>369570</xdr:colOff>
      <xdr:row>160</xdr:row>
      <xdr:rowOff>14704</xdr:rowOff>
    </xdr:from>
    <xdr:to>
      <xdr:col>4</xdr:col>
      <xdr:colOff>1071718</xdr:colOff>
      <xdr:row>160</xdr:row>
      <xdr:rowOff>952500</xdr:rowOff>
    </xdr:to>
    <xdr:pic>
      <xdr:nvPicPr>
        <xdr:cNvPr id="134" name="image132.jpeg"/>
        <xdr:cNvPicPr>
          <a:picLocks noChangeAspect="1"/>
        </xdr:cNvPicPr>
      </xdr:nvPicPr>
      <xdr:blipFill>
        <a:blip r:embed="rId131">
          <a:extLst>
            <a:ext uri="{28A0092B-C50C-407E-A947-70E740481C1C}">
              <a14:useLocalDpi xmlns:a14="http://schemas.microsoft.com/office/drawing/2010/main" val="0"/>
            </a:ext>
          </a:extLst>
        </a:blip>
        <a:stretch>
          <a:fillRect/>
        </a:stretch>
      </xdr:blipFill>
      <xdr:spPr>
        <a:xfrm>
          <a:off x="5238750" y="157411420"/>
          <a:ext cx="701675" cy="937895"/>
        </a:xfrm>
        <a:prstGeom prst="rect">
          <a:avLst/>
        </a:prstGeom>
      </xdr:spPr>
    </xdr:pic>
    <xdr:clientData/>
  </xdr:twoCellAnchor>
  <xdr:twoCellAnchor>
    <xdr:from>
      <xdr:col>4</xdr:col>
      <xdr:colOff>67667</xdr:colOff>
      <xdr:row>162</xdr:row>
      <xdr:rowOff>157620</xdr:rowOff>
    </xdr:from>
    <xdr:to>
      <xdr:col>4</xdr:col>
      <xdr:colOff>1249204</xdr:colOff>
      <xdr:row>162</xdr:row>
      <xdr:rowOff>885265</xdr:rowOff>
    </xdr:to>
    <xdr:pic>
      <xdr:nvPicPr>
        <xdr:cNvPr id="135" name="image133.jpeg"/>
        <xdr:cNvPicPr>
          <a:picLocks noChangeAspect="1"/>
        </xdr:cNvPicPr>
      </xdr:nvPicPr>
      <xdr:blipFill>
        <a:blip r:embed="rId132">
          <a:extLst>
            <a:ext uri="{28A0092B-C50C-407E-A947-70E740481C1C}">
              <a14:useLocalDpi xmlns:a14="http://schemas.microsoft.com/office/drawing/2010/main" val="0"/>
            </a:ext>
          </a:extLst>
        </a:blip>
        <a:stretch>
          <a:fillRect/>
        </a:stretch>
      </xdr:blipFill>
      <xdr:spPr>
        <a:xfrm>
          <a:off x="4936490" y="159209105"/>
          <a:ext cx="1181735" cy="727710"/>
        </a:xfrm>
        <a:prstGeom prst="rect">
          <a:avLst/>
        </a:prstGeom>
      </xdr:spPr>
    </xdr:pic>
    <xdr:clientData/>
  </xdr:twoCellAnchor>
  <xdr:twoCellAnchor>
    <xdr:from>
      <xdr:col>4</xdr:col>
      <xdr:colOff>146759</xdr:colOff>
      <xdr:row>163</xdr:row>
      <xdr:rowOff>125828</xdr:rowOff>
    </xdr:from>
    <xdr:to>
      <xdr:col>4</xdr:col>
      <xdr:colOff>1115892</xdr:colOff>
      <xdr:row>163</xdr:row>
      <xdr:rowOff>874058</xdr:rowOff>
    </xdr:to>
    <xdr:pic>
      <xdr:nvPicPr>
        <xdr:cNvPr id="136" name="image134.jpeg"/>
        <xdr:cNvPicPr>
          <a:picLocks noChangeAspect="1"/>
        </xdr:cNvPicPr>
      </xdr:nvPicPr>
      <xdr:blipFill>
        <a:blip r:embed="rId133">
          <a:extLst>
            <a:ext uri="{28A0092B-C50C-407E-A947-70E740481C1C}">
              <a14:useLocalDpi xmlns:a14="http://schemas.microsoft.com/office/drawing/2010/main" val="0"/>
            </a:ext>
          </a:extLst>
        </a:blip>
        <a:stretch>
          <a:fillRect/>
        </a:stretch>
      </xdr:blipFill>
      <xdr:spPr>
        <a:xfrm>
          <a:off x="5015865" y="160195260"/>
          <a:ext cx="969010" cy="748030"/>
        </a:xfrm>
        <a:prstGeom prst="rect">
          <a:avLst/>
        </a:prstGeom>
      </xdr:spPr>
    </xdr:pic>
    <xdr:clientData/>
  </xdr:twoCellAnchor>
  <xdr:twoCellAnchor>
    <xdr:from>
      <xdr:col>4</xdr:col>
      <xdr:colOff>17086</xdr:colOff>
      <xdr:row>164</xdr:row>
      <xdr:rowOff>105188</xdr:rowOff>
    </xdr:from>
    <xdr:to>
      <xdr:col>4</xdr:col>
      <xdr:colOff>1197930</xdr:colOff>
      <xdr:row>164</xdr:row>
      <xdr:rowOff>784412</xdr:rowOff>
    </xdr:to>
    <xdr:pic>
      <xdr:nvPicPr>
        <xdr:cNvPr id="137" name="image135.jpeg"/>
        <xdr:cNvPicPr>
          <a:picLocks noChangeAspect="1"/>
        </xdr:cNvPicPr>
      </xdr:nvPicPr>
      <xdr:blipFill>
        <a:blip r:embed="rId134">
          <a:extLst>
            <a:ext uri="{28A0092B-C50C-407E-A947-70E740481C1C}">
              <a14:useLocalDpi xmlns:a14="http://schemas.microsoft.com/office/drawing/2010/main" val="0"/>
            </a:ext>
          </a:extLst>
        </a:blip>
        <a:stretch>
          <a:fillRect/>
        </a:stretch>
      </xdr:blipFill>
      <xdr:spPr>
        <a:xfrm>
          <a:off x="4885690" y="161192210"/>
          <a:ext cx="1181100" cy="679450"/>
        </a:xfrm>
        <a:prstGeom prst="rect">
          <a:avLst/>
        </a:prstGeom>
      </xdr:spPr>
    </xdr:pic>
    <xdr:clientData/>
  </xdr:twoCellAnchor>
  <xdr:twoCellAnchor>
    <xdr:from>
      <xdr:col>4</xdr:col>
      <xdr:colOff>53668</xdr:colOff>
      <xdr:row>165</xdr:row>
      <xdr:rowOff>198850</xdr:rowOff>
    </xdr:from>
    <xdr:to>
      <xdr:col>4</xdr:col>
      <xdr:colOff>1200182</xdr:colOff>
      <xdr:row>165</xdr:row>
      <xdr:rowOff>773205</xdr:rowOff>
    </xdr:to>
    <xdr:pic>
      <xdr:nvPicPr>
        <xdr:cNvPr id="138" name="image136.jpeg"/>
        <xdr:cNvPicPr>
          <a:picLocks noChangeAspect="1"/>
        </xdr:cNvPicPr>
      </xdr:nvPicPr>
      <xdr:blipFill>
        <a:blip r:embed="rId135">
          <a:extLst>
            <a:ext uri="{28A0092B-C50C-407E-A947-70E740481C1C}">
              <a14:useLocalDpi xmlns:a14="http://schemas.microsoft.com/office/drawing/2010/main" val="0"/>
            </a:ext>
          </a:extLst>
        </a:blip>
        <a:stretch>
          <a:fillRect/>
        </a:stretch>
      </xdr:blipFill>
      <xdr:spPr>
        <a:xfrm>
          <a:off x="4922520" y="162304095"/>
          <a:ext cx="1146810" cy="574040"/>
        </a:xfrm>
        <a:prstGeom prst="rect">
          <a:avLst/>
        </a:prstGeom>
      </xdr:spPr>
    </xdr:pic>
    <xdr:clientData/>
  </xdr:twoCellAnchor>
  <xdr:twoCellAnchor>
    <xdr:from>
      <xdr:col>4</xdr:col>
      <xdr:colOff>201338</xdr:colOff>
      <xdr:row>167</xdr:row>
      <xdr:rowOff>86231</xdr:rowOff>
    </xdr:from>
    <xdr:to>
      <xdr:col>4</xdr:col>
      <xdr:colOff>1130867</xdr:colOff>
      <xdr:row>167</xdr:row>
      <xdr:rowOff>840441</xdr:rowOff>
    </xdr:to>
    <xdr:pic>
      <xdr:nvPicPr>
        <xdr:cNvPr id="139" name="image137.jpeg"/>
        <xdr:cNvPicPr>
          <a:picLocks noChangeAspect="1"/>
        </xdr:cNvPicPr>
      </xdr:nvPicPr>
      <xdr:blipFill>
        <a:blip r:embed="rId136" cstate="print">
          <a:extLst>
            <a:ext uri="{28A0092B-C50C-407E-A947-70E740481C1C}">
              <a14:useLocalDpi xmlns:a14="http://schemas.microsoft.com/office/drawing/2010/main" val="0"/>
            </a:ext>
          </a:extLst>
        </a:blip>
        <a:stretch>
          <a:fillRect/>
        </a:stretch>
      </xdr:blipFill>
      <xdr:spPr>
        <a:xfrm>
          <a:off x="5070475" y="163845875"/>
          <a:ext cx="929005" cy="754380"/>
        </a:xfrm>
        <a:prstGeom prst="rect">
          <a:avLst/>
        </a:prstGeom>
      </xdr:spPr>
    </xdr:pic>
    <xdr:clientData/>
  </xdr:twoCellAnchor>
  <xdr:twoCellAnchor>
    <xdr:from>
      <xdr:col>4</xdr:col>
      <xdr:colOff>104415</xdr:colOff>
      <xdr:row>168</xdr:row>
      <xdr:rowOff>108299</xdr:rowOff>
    </xdr:from>
    <xdr:to>
      <xdr:col>4</xdr:col>
      <xdr:colOff>1210529</xdr:colOff>
      <xdr:row>168</xdr:row>
      <xdr:rowOff>918882</xdr:rowOff>
    </xdr:to>
    <xdr:pic>
      <xdr:nvPicPr>
        <xdr:cNvPr id="140" name="image138.jpeg"/>
        <xdr:cNvPicPr>
          <a:picLocks noChangeAspect="1"/>
        </xdr:cNvPicPr>
      </xdr:nvPicPr>
      <xdr:blipFill>
        <a:blip r:embed="rId137">
          <a:extLst>
            <a:ext uri="{28A0092B-C50C-407E-A947-70E740481C1C}">
              <a14:useLocalDpi xmlns:a14="http://schemas.microsoft.com/office/drawing/2010/main" val="0"/>
            </a:ext>
          </a:extLst>
        </a:blip>
        <a:stretch>
          <a:fillRect/>
        </a:stretch>
      </xdr:blipFill>
      <xdr:spPr>
        <a:xfrm>
          <a:off x="4973320" y="164886005"/>
          <a:ext cx="1106170" cy="810895"/>
        </a:xfrm>
        <a:prstGeom prst="rect">
          <a:avLst/>
        </a:prstGeom>
      </xdr:spPr>
    </xdr:pic>
    <xdr:clientData/>
  </xdr:twoCellAnchor>
  <xdr:twoCellAnchor>
    <xdr:from>
      <xdr:col>4</xdr:col>
      <xdr:colOff>32220</xdr:colOff>
      <xdr:row>169</xdr:row>
      <xdr:rowOff>124601</xdr:rowOff>
    </xdr:from>
    <xdr:to>
      <xdr:col>4</xdr:col>
      <xdr:colOff>1183958</xdr:colOff>
      <xdr:row>169</xdr:row>
      <xdr:rowOff>862853</xdr:rowOff>
    </xdr:to>
    <xdr:pic>
      <xdr:nvPicPr>
        <xdr:cNvPr id="141" name="image139.jpeg"/>
        <xdr:cNvPicPr>
          <a:picLocks noChangeAspect="1"/>
        </xdr:cNvPicPr>
      </xdr:nvPicPr>
      <xdr:blipFill>
        <a:blip r:embed="rId138">
          <a:extLst>
            <a:ext uri="{28A0092B-C50C-407E-A947-70E740481C1C}">
              <a14:useLocalDpi xmlns:a14="http://schemas.microsoft.com/office/drawing/2010/main" val="0"/>
            </a:ext>
          </a:extLst>
        </a:blip>
        <a:stretch>
          <a:fillRect/>
        </a:stretch>
      </xdr:blipFill>
      <xdr:spPr>
        <a:xfrm>
          <a:off x="4900930" y="165920420"/>
          <a:ext cx="1151890" cy="737870"/>
        </a:xfrm>
        <a:prstGeom prst="rect">
          <a:avLst/>
        </a:prstGeom>
      </xdr:spPr>
    </xdr:pic>
    <xdr:clientData/>
  </xdr:twoCellAnchor>
  <xdr:twoCellAnchor>
    <xdr:from>
      <xdr:col>4</xdr:col>
      <xdr:colOff>125908</xdr:colOff>
      <xdr:row>170</xdr:row>
      <xdr:rowOff>127271</xdr:rowOff>
    </xdr:from>
    <xdr:to>
      <xdr:col>4</xdr:col>
      <xdr:colOff>1158861</xdr:colOff>
      <xdr:row>170</xdr:row>
      <xdr:rowOff>918883</xdr:rowOff>
    </xdr:to>
    <xdr:pic>
      <xdr:nvPicPr>
        <xdr:cNvPr id="142" name="image140.jpeg"/>
        <xdr:cNvPicPr>
          <a:picLocks noChangeAspect="1"/>
        </xdr:cNvPicPr>
      </xdr:nvPicPr>
      <xdr:blipFill>
        <a:blip r:embed="rId139">
          <a:extLst>
            <a:ext uri="{28A0092B-C50C-407E-A947-70E740481C1C}">
              <a14:useLocalDpi xmlns:a14="http://schemas.microsoft.com/office/drawing/2010/main" val="0"/>
            </a:ext>
          </a:extLst>
        </a:blip>
        <a:stretch>
          <a:fillRect/>
        </a:stretch>
      </xdr:blipFill>
      <xdr:spPr>
        <a:xfrm>
          <a:off x="4994910" y="166940865"/>
          <a:ext cx="1032510" cy="791845"/>
        </a:xfrm>
        <a:prstGeom prst="rect">
          <a:avLst/>
        </a:prstGeom>
      </xdr:spPr>
    </xdr:pic>
    <xdr:clientData/>
  </xdr:twoCellAnchor>
  <xdr:twoCellAnchor>
    <xdr:from>
      <xdr:col>4</xdr:col>
      <xdr:colOff>127315</xdr:colOff>
      <xdr:row>172</xdr:row>
      <xdr:rowOff>216125</xdr:rowOff>
    </xdr:from>
    <xdr:to>
      <xdr:col>4</xdr:col>
      <xdr:colOff>1154206</xdr:colOff>
      <xdr:row>172</xdr:row>
      <xdr:rowOff>903030</xdr:rowOff>
    </xdr:to>
    <xdr:pic>
      <xdr:nvPicPr>
        <xdr:cNvPr id="143" name="image141.jpeg"/>
        <xdr:cNvPicPr>
          <a:picLocks noChangeAspect="1"/>
        </xdr:cNvPicPr>
      </xdr:nvPicPr>
      <xdr:blipFill>
        <a:blip r:embed="rId140">
          <a:extLst>
            <a:ext uri="{28A0092B-C50C-407E-A947-70E740481C1C}">
              <a14:useLocalDpi xmlns:a14="http://schemas.microsoft.com/office/drawing/2010/main" val="0"/>
            </a:ext>
          </a:extLst>
        </a:blip>
        <a:stretch>
          <a:fillRect/>
        </a:stretch>
      </xdr:blipFill>
      <xdr:spPr>
        <a:xfrm>
          <a:off x="4996180" y="168684575"/>
          <a:ext cx="1026795" cy="687070"/>
        </a:xfrm>
        <a:prstGeom prst="rect">
          <a:avLst/>
        </a:prstGeom>
      </xdr:spPr>
    </xdr:pic>
    <xdr:clientData/>
  </xdr:twoCellAnchor>
  <xdr:twoCellAnchor>
    <xdr:from>
      <xdr:col>4</xdr:col>
      <xdr:colOff>61018</xdr:colOff>
      <xdr:row>173</xdr:row>
      <xdr:rowOff>203522</xdr:rowOff>
    </xdr:from>
    <xdr:to>
      <xdr:col>4</xdr:col>
      <xdr:colOff>1206477</xdr:colOff>
      <xdr:row>173</xdr:row>
      <xdr:rowOff>907675</xdr:rowOff>
    </xdr:to>
    <xdr:pic>
      <xdr:nvPicPr>
        <xdr:cNvPr id="144" name="image142.jpeg"/>
        <xdr:cNvPicPr>
          <a:picLocks noChangeAspect="1"/>
        </xdr:cNvPicPr>
      </xdr:nvPicPr>
      <xdr:blipFill>
        <a:blip r:embed="rId141">
          <a:extLst>
            <a:ext uri="{28A0092B-C50C-407E-A947-70E740481C1C}">
              <a14:useLocalDpi xmlns:a14="http://schemas.microsoft.com/office/drawing/2010/main" val="0"/>
            </a:ext>
          </a:extLst>
        </a:blip>
        <a:stretch>
          <a:fillRect/>
        </a:stretch>
      </xdr:blipFill>
      <xdr:spPr>
        <a:xfrm>
          <a:off x="4930140" y="169689780"/>
          <a:ext cx="1144905" cy="704215"/>
        </a:xfrm>
        <a:prstGeom prst="rect">
          <a:avLst/>
        </a:prstGeom>
      </xdr:spPr>
    </xdr:pic>
    <xdr:clientData/>
  </xdr:twoCellAnchor>
  <xdr:twoCellAnchor>
    <xdr:from>
      <xdr:col>4</xdr:col>
      <xdr:colOff>29904</xdr:colOff>
      <xdr:row>174</xdr:row>
      <xdr:rowOff>227424</xdr:rowOff>
    </xdr:from>
    <xdr:to>
      <xdr:col>4</xdr:col>
      <xdr:colOff>1165270</xdr:colOff>
      <xdr:row>174</xdr:row>
      <xdr:rowOff>829236</xdr:rowOff>
    </xdr:to>
    <xdr:pic>
      <xdr:nvPicPr>
        <xdr:cNvPr id="145" name="image143.jpeg"/>
        <xdr:cNvPicPr>
          <a:picLocks noChangeAspect="1"/>
        </xdr:cNvPicPr>
      </xdr:nvPicPr>
      <xdr:blipFill>
        <a:blip r:embed="rId142">
          <a:extLst>
            <a:ext uri="{28A0092B-C50C-407E-A947-70E740481C1C}">
              <a14:useLocalDpi xmlns:a14="http://schemas.microsoft.com/office/drawing/2010/main" val="0"/>
            </a:ext>
          </a:extLst>
        </a:blip>
        <a:stretch>
          <a:fillRect/>
        </a:stretch>
      </xdr:blipFill>
      <xdr:spPr>
        <a:xfrm>
          <a:off x="4899025" y="170731815"/>
          <a:ext cx="1135380" cy="601345"/>
        </a:xfrm>
        <a:prstGeom prst="rect">
          <a:avLst/>
        </a:prstGeom>
      </xdr:spPr>
    </xdr:pic>
    <xdr:clientData/>
  </xdr:twoCellAnchor>
  <xdr:twoCellAnchor>
    <xdr:from>
      <xdr:col>4</xdr:col>
      <xdr:colOff>161177</xdr:colOff>
      <xdr:row>175</xdr:row>
      <xdr:rowOff>195687</xdr:rowOff>
    </xdr:from>
    <xdr:to>
      <xdr:col>4</xdr:col>
      <xdr:colOff>1141519</xdr:colOff>
      <xdr:row>175</xdr:row>
      <xdr:rowOff>874059</xdr:rowOff>
    </xdr:to>
    <xdr:pic>
      <xdr:nvPicPr>
        <xdr:cNvPr id="146" name="image144.jpeg"/>
        <xdr:cNvPicPr>
          <a:picLocks noChangeAspect="1"/>
        </xdr:cNvPicPr>
      </xdr:nvPicPr>
      <xdr:blipFill>
        <a:blip r:embed="rId143">
          <a:extLst>
            <a:ext uri="{28A0092B-C50C-407E-A947-70E740481C1C}">
              <a14:useLocalDpi xmlns:a14="http://schemas.microsoft.com/office/drawing/2010/main" val="0"/>
            </a:ext>
          </a:extLst>
        </a:blip>
        <a:stretch>
          <a:fillRect/>
        </a:stretch>
      </xdr:blipFill>
      <xdr:spPr>
        <a:xfrm>
          <a:off x="5029835" y="171717970"/>
          <a:ext cx="980440" cy="678180"/>
        </a:xfrm>
        <a:prstGeom prst="rect">
          <a:avLst/>
        </a:prstGeom>
      </xdr:spPr>
    </xdr:pic>
    <xdr:clientData/>
  </xdr:twoCellAnchor>
  <xdr:twoCellAnchor>
    <xdr:from>
      <xdr:col>4</xdr:col>
      <xdr:colOff>315108</xdr:colOff>
      <xdr:row>177</xdr:row>
      <xdr:rowOff>74253</xdr:rowOff>
    </xdr:from>
    <xdr:to>
      <xdr:col>4</xdr:col>
      <xdr:colOff>1080873</xdr:colOff>
      <xdr:row>177</xdr:row>
      <xdr:rowOff>862853</xdr:rowOff>
    </xdr:to>
    <xdr:pic>
      <xdr:nvPicPr>
        <xdr:cNvPr id="147" name="image145.jpeg"/>
        <xdr:cNvPicPr>
          <a:picLocks noChangeAspect="1"/>
        </xdr:cNvPicPr>
      </xdr:nvPicPr>
      <xdr:blipFill>
        <a:blip r:embed="rId144">
          <a:extLst>
            <a:ext uri="{28A0092B-C50C-407E-A947-70E740481C1C}">
              <a14:useLocalDpi xmlns:a14="http://schemas.microsoft.com/office/drawing/2010/main" val="0"/>
            </a:ext>
          </a:extLst>
        </a:blip>
        <a:stretch>
          <a:fillRect/>
        </a:stretch>
      </xdr:blipFill>
      <xdr:spPr>
        <a:xfrm>
          <a:off x="5184140" y="173250860"/>
          <a:ext cx="765810" cy="788670"/>
        </a:xfrm>
        <a:prstGeom prst="rect">
          <a:avLst/>
        </a:prstGeom>
      </xdr:spPr>
    </xdr:pic>
    <xdr:clientData/>
  </xdr:twoCellAnchor>
  <xdr:twoCellAnchor>
    <xdr:from>
      <xdr:col>4</xdr:col>
      <xdr:colOff>281984</xdr:colOff>
      <xdr:row>181</xdr:row>
      <xdr:rowOff>80142</xdr:rowOff>
    </xdr:from>
    <xdr:to>
      <xdr:col>4</xdr:col>
      <xdr:colOff>1071038</xdr:colOff>
      <xdr:row>181</xdr:row>
      <xdr:rowOff>974911</xdr:rowOff>
    </xdr:to>
    <xdr:pic>
      <xdr:nvPicPr>
        <xdr:cNvPr id="148" name="image146.jpeg"/>
        <xdr:cNvPicPr>
          <a:picLocks noChangeAspect="1"/>
        </xdr:cNvPicPr>
      </xdr:nvPicPr>
      <xdr:blipFill>
        <a:blip r:embed="rId145">
          <a:extLst>
            <a:ext uri="{28A0092B-C50C-407E-A947-70E740481C1C}">
              <a14:useLocalDpi xmlns:a14="http://schemas.microsoft.com/office/drawing/2010/main" val="0"/>
            </a:ext>
          </a:extLst>
        </a:blip>
        <a:stretch>
          <a:fillRect/>
        </a:stretch>
      </xdr:blipFill>
      <xdr:spPr>
        <a:xfrm>
          <a:off x="5151120" y="177328830"/>
          <a:ext cx="788670" cy="894715"/>
        </a:xfrm>
        <a:prstGeom prst="rect">
          <a:avLst/>
        </a:prstGeom>
      </xdr:spPr>
    </xdr:pic>
    <xdr:clientData/>
  </xdr:twoCellAnchor>
  <xdr:twoCellAnchor>
    <xdr:from>
      <xdr:col>4</xdr:col>
      <xdr:colOff>385325</xdr:colOff>
      <xdr:row>178</xdr:row>
      <xdr:rowOff>42900</xdr:rowOff>
    </xdr:from>
    <xdr:to>
      <xdr:col>4</xdr:col>
      <xdr:colOff>1031529</xdr:colOff>
      <xdr:row>178</xdr:row>
      <xdr:rowOff>974911</xdr:rowOff>
    </xdr:to>
    <xdr:pic>
      <xdr:nvPicPr>
        <xdr:cNvPr id="149" name="image147.jpeg"/>
        <xdr:cNvPicPr>
          <a:picLocks noChangeAspect="1"/>
        </xdr:cNvPicPr>
      </xdr:nvPicPr>
      <xdr:blipFill>
        <a:blip r:embed="rId146">
          <a:extLst>
            <a:ext uri="{28A0092B-C50C-407E-A947-70E740481C1C}">
              <a14:useLocalDpi xmlns:a14="http://schemas.microsoft.com/office/drawing/2010/main" val="0"/>
            </a:ext>
          </a:extLst>
        </a:blip>
        <a:stretch>
          <a:fillRect/>
        </a:stretch>
      </xdr:blipFill>
      <xdr:spPr>
        <a:xfrm>
          <a:off x="5253990" y="174237650"/>
          <a:ext cx="646430" cy="932180"/>
        </a:xfrm>
        <a:prstGeom prst="rect">
          <a:avLst/>
        </a:prstGeom>
      </xdr:spPr>
    </xdr:pic>
    <xdr:clientData/>
  </xdr:twoCellAnchor>
  <xdr:twoCellAnchor>
    <xdr:from>
      <xdr:col>4</xdr:col>
      <xdr:colOff>407736</xdr:colOff>
      <xdr:row>179</xdr:row>
      <xdr:rowOff>28468</xdr:rowOff>
    </xdr:from>
    <xdr:to>
      <xdr:col>4</xdr:col>
      <xdr:colOff>968790</xdr:colOff>
      <xdr:row>179</xdr:row>
      <xdr:rowOff>997324</xdr:rowOff>
    </xdr:to>
    <xdr:pic>
      <xdr:nvPicPr>
        <xdr:cNvPr id="150" name="image148.jpeg"/>
        <xdr:cNvPicPr>
          <a:picLocks noChangeAspect="1"/>
        </xdr:cNvPicPr>
      </xdr:nvPicPr>
      <xdr:blipFill>
        <a:blip r:embed="rId147">
          <a:extLst>
            <a:ext uri="{28A0092B-C50C-407E-A947-70E740481C1C}">
              <a14:useLocalDpi xmlns:a14="http://schemas.microsoft.com/office/drawing/2010/main" val="0"/>
            </a:ext>
          </a:extLst>
        </a:blip>
        <a:stretch>
          <a:fillRect/>
        </a:stretch>
      </xdr:blipFill>
      <xdr:spPr>
        <a:xfrm>
          <a:off x="5276850" y="175240950"/>
          <a:ext cx="560705" cy="969010"/>
        </a:xfrm>
        <a:prstGeom prst="rect">
          <a:avLst/>
        </a:prstGeom>
      </xdr:spPr>
    </xdr:pic>
    <xdr:clientData/>
  </xdr:twoCellAnchor>
  <xdr:twoCellAnchor>
    <xdr:from>
      <xdr:col>4</xdr:col>
      <xdr:colOff>63142</xdr:colOff>
      <xdr:row>183</xdr:row>
      <xdr:rowOff>31373</xdr:rowOff>
    </xdr:from>
    <xdr:to>
      <xdr:col>4</xdr:col>
      <xdr:colOff>593912</xdr:colOff>
      <xdr:row>183</xdr:row>
      <xdr:rowOff>969090</xdr:rowOff>
    </xdr:to>
    <xdr:pic>
      <xdr:nvPicPr>
        <xdr:cNvPr id="151" name="image149.jpeg"/>
        <xdr:cNvPicPr>
          <a:picLocks noChangeAspect="1"/>
        </xdr:cNvPicPr>
      </xdr:nvPicPr>
      <xdr:blipFill>
        <a:blip r:embed="rId148">
          <a:extLst>
            <a:ext uri="{28A0092B-C50C-407E-A947-70E740481C1C}">
              <a14:useLocalDpi xmlns:a14="http://schemas.microsoft.com/office/drawing/2010/main" val="0"/>
            </a:ext>
          </a:extLst>
        </a:blip>
        <a:stretch>
          <a:fillRect/>
        </a:stretch>
      </xdr:blipFill>
      <xdr:spPr>
        <a:xfrm>
          <a:off x="4932045" y="178934745"/>
          <a:ext cx="530860" cy="937895"/>
        </a:xfrm>
        <a:prstGeom prst="rect">
          <a:avLst/>
        </a:prstGeom>
      </xdr:spPr>
    </xdr:pic>
    <xdr:clientData/>
  </xdr:twoCellAnchor>
  <xdr:twoCellAnchor>
    <xdr:from>
      <xdr:col>4</xdr:col>
      <xdr:colOff>679240</xdr:colOff>
      <xdr:row>185</xdr:row>
      <xdr:rowOff>110956</xdr:rowOff>
    </xdr:from>
    <xdr:to>
      <xdr:col>4</xdr:col>
      <xdr:colOff>1213454</xdr:colOff>
      <xdr:row>185</xdr:row>
      <xdr:rowOff>930088</xdr:rowOff>
    </xdr:to>
    <xdr:pic>
      <xdr:nvPicPr>
        <xdr:cNvPr id="152" name="image150.jpeg"/>
        <xdr:cNvPicPr>
          <a:picLocks noChangeAspect="1"/>
        </xdr:cNvPicPr>
      </xdr:nvPicPr>
      <xdr:blipFill>
        <a:blip r:embed="rId149">
          <a:extLst>
            <a:ext uri="{28A0092B-C50C-407E-A947-70E740481C1C}">
              <a14:useLocalDpi xmlns:a14="http://schemas.microsoft.com/office/drawing/2010/main" val="0"/>
            </a:ext>
          </a:extLst>
        </a:blip>
        <a:stretch>
          <a:fillRect/>
        </a:stretch>
      </xdr:blipFill>
      <xdr:spPr>
        <a:xfrm>
          <a:off x="5547995" y="181049930"/>
          <a:ext cx="534035" cy="819150"/>
        </a:xfrm>
        <a:prstGeom prst="rect">
          <a:avLst/>
        </a:prstGeom>
      </xdr:spPr>
    </xdr:pic>
    <xdr:clientData/>
  </xdr:twoCellAnchor>
  <xdr:twoCellAnchor>
    <xdr:from>
      <xdr:col>4</xdr:col>
      <xdr:colOff>230409</xdr:colOff>
      <xdr:row>184</xdr:row>
      <xdr:rowOff>43723</xdr:rowOff>
    </xdr:from>
    <xdr:to>
      <xdr:col>4</xdr:col>
      <xdr:colOff>930089</xdr:colOff>
      <xdr:row>184</xdr:row>
      <xdr:rowOff>971909</xdr:rowOff>
    </xdr:to>
    <xdr:pic>
      <xdr:nvPicPr>
        <xdr:cNvPr id="153" name="image151.jpeg"/>
        <xdr:cNvPicPr>
          <a:picLocks noChangeAspect="1"/>
        </xdr:cNvPicPr>
      </xdr:nvPicPr>
      <xdr:blipFill>
        <a:blip r:embed="rId150">
          <a:extLst>
            <a:ext uri="{28A0092B-C50C-407E-A947-70E740481C1C}">
              <a14:useLocalDpi xmlns:a14="http://schemas.microsoft.com/office/drawing/2010/main" val="0"/>
            </a:ext>
          </a:extLst>
        </a:blip>
        <a:stretch>
          <a:fillRect/>
        </a:stretch>
      </xdr:blipFill>
      <xdr:spPr>
        <a:xfrm>
          <a:off x="5099050" y="179964715"/>
          <a:ext cx="699770" cy="928370"/>
        </a:xfrm>
        <a:prstGeom prst="rect">
          <a:avLst/>
        </a:prstGeom>
      </xdr:spPr>
    </xdr:pic>
    <xdr:clientData/>
  </xdr:twoCellAnchor>
  <xdr:twoCellAnchor>
    <xdr:from>
      <xdr:col>4</xdr:col>
      <xdr:colOff>157905</xdr:colOff>
      <xdr:row>185</xdr:row>
      <xdr:rowOff>71212</xdr:rowOff>
    </xdr:from>
    <xdr:to>
      <xdr:col>4</xdr:col>
      <xdr:colOff>688164</xdr:colOff>
      <xdr:row>185</xdr:row>
      <xdr:rowOff>941294</xdr:rowOff>
    </xdr:to>
    <xdr:pic>
      <xdr:nvPicPr>
        <xdr:cNvPr id="154" name="image152.jpeg"/>
        <xdr:cNvPicPr>
          <a:picLocks noChangeAspect="1"/>
        </xdr:cNvPicPr>
      </xdr:nvPicPr>
      <xdr:blipFill>
        <a:blip r:embed="rId151">
          <a:extLst>
            <a:ext uri="{28A0092B-C50C-407E-A947-70E740481C1C}">
              <a14:useLocalDpi xmlns:a14="http://schemas.microsoft.com/office/drawing/2010/main" val="0"/>
            </a:ext>
          </a:extLst>
        </a:blip>
        <a:stretch>
          <a:fillRect/>
        </a:stretch>
      </xdr:blipFill>
      <xdr:spPr>
        <a:xfrm>
          <a:off x="5026660" y="181010560"/>
          <a:ext cx="530225" cy="869950"/>
        </a:xfrm>
        <a:prstGeom prst="rect">
          <a:avLst/>
        </a:prstGeom>
      </xdr:spPr>
    </xdr:pic>
    <xdr:clientData/>
  </xdr:twoCellAnchor>
  <xdr:twoCellAnchor>
    <xdr:from>
      <xdr:col>4</xdr:col>
      <xdr:colOff>96312</xdr:colOff>
      <xdr:row>187</xdr:row>
      <xdr:rowOff>64392</xdr:rowOff>
    </xdr:from>
    <xdr:to>
      <xdr:col>4</xdr:col>
      <xdr:colOff>1098176</xdr:colOff>
      <xdr:row>187</xdr:row>
      <xdr:rowOff>944278</xdr:rowOff>
    </xdr:to>
    <xdr:pic>
      <xdr:nvPicPr>
        <xdr:cNvPr id="155" name="image153.jpeg"/>
        <xdr:cNvPicPr>
          <a:picLocks noChangeAspect="1"/>
        </xdr:cNvPicPr>
      </xdr:nvPicPr>
      <xdr:blipFill>
        <a:blip r:embed="rId152">
          <a:extLst>
            <a:ext uri="{28A0092B-C50C-407E-A947-70E740481C1C}">
              <a14:useLocalDpi xmlns:a14="http://schemas.microsoft.com/office/drawing/2010/main" val="0"/>
            </a:ext>
          </a:extLst>
        </a:blip>
        <a:stretch>
          <a:fillRect/>
        </a:stretch>
      </xdr:blipFill>
      <xdr:spPr>
        <a:xfrm>
          <a:off x="4965065" y="182658385"/>
          <a:ext cx="1002030" cy="880110"/>
        </a:xfrm>
        <a:prstGeom prst="rect">
          <a:avLst/>
        </a:prstGeom>
      </xdr:spPr>
    </xdr:pic>
    <xdr:clientData/>
  </xdr:twoCellAnchor>
  <xdr:twoCellAnchor>
    <xdr:from>
      <xdr:col>4</xdr:col>
      <xdr:colOff>216870</xdr:colOff>
      <xdr:row>180</xdr:row>
      <xdr:rowOff>102550</xdr:rowOff>
    </xdr:from>
    <xdr:to>
      <xdr:col>4</xdr:col>
      <xdr:colOff>1094705</xdr:colOff>
      <xdr:row>180</xdr:row>
      <xdr:rowOff>963705</xdr:rowOff>
    </xdr:to>
    <xdr:pic>
      <xdr:nvPicPr>
        <xdr:cNvPr id="156" name="image154.jpeg"/>
        <xdr:cNvPicPr>
          <a:picLocks noChangeAspect="1"/>
        </xdr:cNvPicPr>
      </xdr:nvPicPr>
      <xdr:blipFill>
        <a:blip r:embed="rId153">
          <a:extLst>
            <a:ext uri="{28A0092B-C50C-407E-A947-70E740481C1C}">
              <a14:useLocalDpi xmlns:a14="http://schemas.microsoft.com/office/drawing/2010/main" val="0"/>
            </a:ext>
          </a:extLst>
        </a:blip>
        <a:stretch>
          <a:fillRect/>
        </a:stretch>
      </xdr:blipFill>
      <xdr:spPr>
        <a:xfrm>
          <a:off x="5085715" y="176333150"/>
          <a:ext cx="877570" cy="861060"/>
        </a:xfrm>
        <a:prstGeom prst="rect">
          <a:avLst/>
        </a:prstGeom>
      </xdr:spPr>
    </xdr:pic>
    <xdr:clientData/>
  </xdr:twoCellAnchor>
  <xdr:twoCellAnchor>
    <xdr:from>
      <xdr:col>4</xdr:col>
      <xdr:colOff>619840</xdr:colOff>
      <xdr:row>183</xdr:row>
      <xdr:rowOff>70069</xdr:rowOff>
    </xdr:from>
    <xdr:to>
      <xdr:col>4</xdr:col>
      <xdr:colOff>1223997</xdr:colOff>
      <xdr:row>183</xdr:row>
      <xdr:rowOff>941293</xdr:rowOff>
    </xdr:to>
    <xdr:pic>
      <xdr:nvPicPr>
        <xdr:cNvPr id="157" name="image155.jpeg"/>
        <xdr:cNvPicPr>
          <a:picLocks noChangeAspect="1"/>
        </xdr:cNvPicPr>
      </xdr:nvPicPr>
      <xdr:blipFill>
        <a:blip r:embed="rId154">
          <a:extLst>
            <a:ext uri="{28A0092B-C50C-407E-A947-70E740481C1C}">
              <a14:useLocalDpi xmlns:a14="http://schemas.microsoft.com/office/drawing/2010/main" val="0"/>
            </a:ext>
          </a:extLst>
        </a:blip>
        <a:stretch>
          <a:fillRect/>
        </a:stretch>
      </xdr:blipFill>
      <xdr:spPr>
        <a:xfrm>
          <a:off x="5488940" y="178973480"/>
          <a:ext cx="603885" cy="871220"/>
        </a:xfrm>
        <a:prstGeom prst="rect">
          <a:avLst/>
        </a:prstGeom>
      </xdr:spPr>
    </xdr:pic>
    <xdr:clientData/>
  </xdr:twoCellAnchor>
  <xdr:twoCellAnchor>
    <xdr:from>
      <xdr:col>4</xdr:col>
      <xdr:colOff>128607</xdr:colOff>
      <xdr:row>75</xdr:row>
      <xdr:rowOff>735076</xdr:rowOff>
    </xdr:from>
    <xdr:to>
      <xdr:col>4</xdr:col>
      <xdr:colOff>1176725</xdr:colOff>
      <xdr:row>76</xdr:row>
      <xdr:rowOff>80292</xdr:rowOff>
    </xdr:to>
    <xdr:pic>
      <xdr:nvPicPr>
        <xdr:cNvPr id="158" name="image65.jpeg"/>
        <xdr:cNvPicPr>
          <a:picLocks noChangeAspect="1"/>
        </xdr:cNvPicPr>
      </xdr:nvPicPr>
      <xdr:blipFill>
        <a:blip r:embed="rId155">
          <a:extLst>
            <a:ext uri="{28A0092B-C50C-407E-A947-70E740481C1C}">
              <a14:useLocalDpi xmlns:a14="http://schemas.microsoft.com/office/drawing/2010/main" val="0"/>
            </a:ext>
          </a:extLst>
        </a:blip>
        <a:stretch>
          <a:fillRect/>
        </a:stretch>
      </xdr:blipFill>
      <xdr:spPr>
        <a:xfrm>
          <a:off x="4997450" y="72405875"/>
          <a:ext cx="1048385" cy="363220"/>
        </a:xfrm>
        <a:prstGeom prst="rect">
          <a:avLst/>
        </a:prstGeom>
      </xdr:spPr>
    </xdr:pic>
    <xdr:clientData/>
  </xdr:twoCellAnchor>
  <xdr:twoCellAnchor>
    <xdr:from>
      <xdr:col>4</xdr:col>
      <xdr:colOff>408214</xdr:colOff>
      <xdr:row>147</xdr:row>
      <xdr:rowOff>54428</xdr:rowOff>
    </xdr:from>
    <xdr:to>
      <xdr:col>4</xdr:col>
      <xdr:colOff>961279</xdr:colOff>
      <xdr:row>147</xdr:row>
      <xdr:rowOff>911679</xdr:rowOff>
    </xdr:to>
    <xdr:pic>
      <xdr:nvPicPr>
        <xdr:cNvPr id="159" name="Picture 158"/>
        <xdr:cNvPicPr>
          <a:picLocks noChangeAspect="1"/>
        </xdr:cNvPicPr>
      </xdr:nvPicPr>
      <xdr:blipFill>
        <a:blip r:embed="rId156" cstate="print">
          <a:extLst>
            <a:ext uri="{28A0092B-C50C-407E-A947-70E740481C1C}">
              <a14:useLocalDpi xmlns:a14="http://schemas.microsoft.com/office/drawing/2010/main" val="0"/>
            </a:ext>
          </a:extLst>
        </a:blip>
        <a:srcRect/>
        <a:stretch>
          <a:fillRect/>
        </a:stretch>
      </xdr:blipFill>
      <xdr:spPr>
        <a:xfrm>
          <a:off x="5276850" y="145742025"/>
          <a:ext cx="553085" cy="857250"/>
        </a:xfrm>
        <a:prstGeom prst="rect">
          <a:avLst/>
        </a:prstGeom>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B1:AV364"/>
  <sheetViews>
    <sheetView tabSelected="1" view="pageBreakPreview" zoomScale="85" zoomScaleNormal="100" topLeftCell="E1" workbookViewId="0">
      <pane ySplit="4" topLeftCell="A150" activePane="bottomLeft" state="frozen"/>
      <selection/>
      <selection pane="bottomLeft" activeCell="I202" sqref="I202"/>
    </sheetView>
  </sheetViews>
  <sheetFormatPr defaultColWidth="9" defaultRowHeight="12.75"/>
  <cols>
    <col min="1" max="1" width="9" style="2"/>
    <col min="2" max="2" width="9.7" style="2" customWidth="1"/>
    <col min="3" max="3" width="32" style="2" customWidth="1"/>
    <col min="4" max="4" width="34.5" style="2" customWidth="1"/>
    <col min="5" max="5" width="22" style="2" customWidth="1"/>
    <col min="6" max="6" width="51.5" style="2" customWidth="1"/>
    <col min="7" max="7" width="26.7" style="2" customWidth="1"/>
    <col min="8" max="8" width="32" style="2" customWidth="1"/>
    <col min="9" max="9" width="58.2" style="2" customWidth="1"/>
    <col min="10" max="10" width="35.2" style="2" customWidth="1"/>
    <col min="11" max="11" width="14.3" style="2" customWidth="1"/>
    <col min="12" max="12" width="14.2" style="2" customWidth="1"/>
    <col min="13" max="13" width="17.5" style="2" customWidth="1"/>
    <col min="14" max="14" width="22.7444444444444" style="3" customWidth="1"/>
    <col min="15" max="15" width="24.1222222222222" style="4" customWidth="1"/>
    <col min="16" max="16" width="25.8777777777778" style="4" customWidth="1"/>
    <col min="17" max="20" width="9.3" style="5"/>
    <col min="21" max="16384" width="9" style="2"/>
  </cols>
  <sheetData>
    <row r="1" ht="40" customHeight="1" spans="2:48">
      <c r="B1" s="6" t="s">
        <v>0</v>
      </c>
      <c r="C1" s="6"/>
      <c r="D1" s="6"/>
      <c r="E1" s="6"/>
      <c r="F1" s="6"/>
      <c r="G1" s="6"/>
      <c r="H1" s="6"/>
      <c r="I1" s="6"/>
      <c r="J1" s="6"/>
      <c r="K1" s="6"/>
      <c r="L1" s="6"/>
      <c r="M1" s="6"/>
      <c r="N1" s="7"/>
      <c r="O1" s="8"/>
      <c r="P1" s="8"/>
    </row>
    <row r="2" ht="40" customHeight="1" spans="2:48">
      <c r="B2" s="9" t="s">
        <v>1</v>
      </c>
      <c r="C2" s="9"/>
      <c r="D2" s="9"/>
      <c r="E2" s="9"/>
      <c r="F2" s="9"/>
      <c r="G2" s="9"/>
      <c r="H2" s="9"/>
      <c r="I2" s="9"/>
      <c r="J2" s="9"/>
      <c r="K2" s="9"/>
      <c r="L2" s="9"/>
      <c r="M2" s="9"/>
      <c r="N2" s="10"/>
      <c r="O2" s="8"/>
      <c r="P2" s="8"/>
    </row>
    <row r="3" ht="50.15" customHeight="1" spans="2:48">
      <c r="B3" s="11" t="s">
        <v>2</v>
      </c>
      <c r="C3" s="12" t="s">
        <v>3</v>
      </c>
      <c r="D3" s="12" t="s">
        <v>4</v>
      </c>
      <c r="E3" s="13" t="s">
        <v>5</v>
      </c>
      <c r="F3" s="13" t="s">
        <v>6</v>
      </c>
      <c r="G3" s="12" t="s">
        <v>7</v>
      </c>
      <c r="H3" s="12"/>
      <c r="I3" s="12" t="s">
        <v>8</v>
      </c>
      <c r="J3" s="13" t="s">
        <v>9</v>
      </c>
      <c r="K3" s="12" t="s">
        <v>10</v>
      </c>
      <c r="L3" s="12"/>
      <c r="M3" s="12"/>
      <c r="N3" s="12" t="s">
        <v>11</v>
      </c>
      <c r="O3" s="12" t="s">
        <v>12</v>
      </c>
      <c r="P3" s="12" t="s">
        <v>13</v>
      </c>
      <c r="U3" s="5"/>
      <c r="V3" s="5"/>
      <c r="W3" s="5"/>
      <c r="X3" s="5"/>
      <c r="Y3" s="5"/>
      <c r="Z3" s="5"/>
      <c r="AA3" s="5"/>
      <c r="AB3" s="5"/>
      <c r="AC3" s="5"/>
      <c r="AD3" s="5"/>
      <c r="AE3" s="5"/>
      <c r="AF3" s="5"/>
      <c r="AG3" s="5"/>
      <c r="AH3" s="5"/>
      <c r="AI3" s="5"/>
      <c r="AJ3" s="5"/>
      <c r="AK3" s="5"/>
      <c r="AL3" s="5"/>
      <c r="AM3" s="5"/>
      <c r="AN3" s="5"/>
      <c r="AO3" s="5"/>
      <c r="AP3" s="5"/>
      <c r="AQ3" s="5"/>
      <c r="AR3" s="5"/>
      <c r="AS3" s="5"/>
      <c r="AT3" s="5"/>
      <c r="AU3" s="5"/>
      <c r="AV3" s="5"/>
    </row>
    <row r="4" ht="33.25" customHeight="1" spans="2:48">
      <c r="B4" s="14"/>
      <c r="C4" s="12"/>
      <c r="D4" s="12"/>
      <c r="E4" s="15"/>
      <c r="F4" s="15"/>
      <c r="G4" s="12" t="s">
        <v>14</v>
      </c>
      <c r="H4" s="12" t="s">
        <v>15</v>
      </c>
      <c r="I4" s="12"/>
      <c r="J4" s="15"/>
      <c r="K4" s="16" t="s">
        <v>16</v>
      </c>
      <c r="L4" s="16" t="s">
        <v>17</v>
      </c>
      <c r="M4" s="16" t="s">
        <v>18</v>
      </c>
      <c r="N4" s="12"/>
      <c r="O4" s="12"/>
      <c r="P4" s="12"/>
      <c r="U4" s="5"/>
      <c r="V4" s="5"/>
      <c r="W4" s="5"/>
      <c r="X4" s="5"/>
      <c r="Y4" s="5"/>
      <c r="Z4" s="5"/>
      <c r="AA4" s="5"/>
      <c r="AB4" s="5"/>
      <c r="AC4" s="5"/>
      <c r="AD4" s="5"/>
      <c r="AE4" s="5"/>
      <c r="AF4" s="5"/>
      <c r="AG4" s="5"/>
      <c r="AH4" s="5"/>
      <c r="AI4" s="5"/>
      <c r="AJ4" s="5"/>
      <c r="AK4" s="5"/>
      <c r="AL4" s="5"/>
      <c r="AM4" s="5"/>
      <c r="AN4" s="5"/>
      <c r="AO4" s="5"/>
      <c r="AP4" s="5"/>
      <c r="AQ4" s="5"/>
      <c r="AR4" s="5"/>
      <c r="AS4" s="5"/>
      <c r="AT4" s="5"/>
      <c r="AU4" s="5"/>
      <c r="AV4" s="5"/>
    </row>
    <row r="5" ht="80.15" customHeight="1" spans="2:48">
      <c r="B5" s="100" t="s">
        <v>19</v>
      </c>
      <c r="C5" s="18" t="s">
        <v>20</v>
      </c>
      <c r="D5" s="18" t="s">
        <v>21</v>
      </c>
      <c r="E5" s="19"/>
      <c r="F5" s="18" t="s">
        <v>22</v>
      </c>
      <c r="G5" s="20" t="s">
        <v>23</v>
      </c>
      <c r="H5" s="21" t="s">
        <v>24</v>
      </c>
      <c r="I5" s="22" t="s">
        <v>25</v>
      </c>
      <c r="J5" s="18" t="s">
        <v>26</v>
      </c>
      <c r="K5" s="23">
        <f t="shared" ref="K5:K32" si="0">L5*(1-0.22)</f>
        <v>14040</v>
      </c>
      <c r="L5" s="24">
        <v>18000</v>
      </c>
      <c r="M5" s="25">
        <v>0.22</v>
      </c>
      <c r="N5" s="26" t="s">
        <v>27</v>
      </c>
      <c r="O5" s="27" t="s">
        <v>28</v>
      </c>
      <c r="P5" s="27" t="s">
        <v>29</v>
      </c>
      <c r="U5" s="5"/>
      <c r="V5" s="5"/>
      <c r="W5" s="5"/>
      <c r="X5" s="5"/>
      <c r="Y5" s="5"/>
      <c r="Z5" s="5"/>
      <c r="AA5" s="5"/>
      <c r="AB5" s="5"/>
      <c r="AC5" s="5"/>
      <c r="AD5" s="5"/>
      <c r="AE5" s="5"/>
      <c r="AF5" s="5"/>
      <c r="AG5" s="5"/>
      <c r="AH5" s="5"/>
      <c r="AI5" s="5"/>
      <c r="AJ5" s="5"/>
      <c r="AK5" s="5"/>
      <c r="AL5" s="5"/>
      <c r="AM5" s="5"/>
      <c r="AN5" s="5"/>
      <c r="AO5" s="5"/>
      <c r="AP5" s="5"/>
      <c r="AQ5" s="5"/>
      <c r="AR5" s="5"/>
      <c r="AS5" s="5"/>
      <c r="AT5" s="5"/>
      <c r="AU5" s="5"/>
      <c r="AV5" s="5"/>
    </row>
    <row r="6" ht="79.5" customHeight="1" spans="2:48">
      <c r="B6" s="100" t="s">
        <v>30</v>
      </c>
      <c r="C6" s="18" t="s">
        <v>31</v>
      </c>
      <c r="D6" s="18" t="s">
        <v>21</v>
      </c>
      <c r="E6" s="19"/>
      <c r="F6" s="18" t="s">
        <v>22</v>
      </c>
      <c r="G6" s="20" t="s">
        <v>23</v>
      </c>
      <c r="H6" s="21" t="s">
        <v>24</v>
      </c>
      <c r="I6" s="22" t="s">
        <v>25</v>
      </c>
      <c r="J6" s="18" t="s">
        <v>26</v>
      </c>
      <c r="K6" s="23">
        <f t="shared" si="0"/>
        <v>21060</v>
      </c>
      <c r="L6" s="24">
        <v>27000</v>
      </c>
      <c r="M6" s="25">
        <v>0.22</v>
      </c>
      <c r="N6" s="26" t="s">
        <v>27</v>
      </c>
      <c r="O6" s="28" t="s">
        <v>28</v>
      </c>
      <c r="P6" s="27" t="s">
        <v>29</v>
      </c>
      <c r="U6" s="5"/>
      <c r="V6" s="5"/>
      <c r="W6" s="5"/>
      <c r="X6" s="5"/>
      <c r="Y6" s="5"/>
      <c r="Z6" s="5"/>
      <c r="AA6" s="5"/>
      <c r="AB6" s="5"/>
      <c r="AC6" s="5"/>
      <c r="AD6" s="5"/>
      <c r="AE6" s="5"/>
      <c r="AF6" s="5"/>
      <c r="AG6" s="5"/>
      <c r="AH6" s="5"/>
      <c r="AI6" s="5"/>
      <c r="AJ6" s="5"/>
      <c r="AK6" s="5"/>
      <c r="AL6" s="5"/>
      <c r="AM6" s="5"/>
      <c r="AN6" s="5"/>
      <c r="AO6" s="5"/>
      <c r="AP6" s="5"/>
      <c r="AQ6" s="5"/>
      <c r="AR6" s="5"/>
      <c r="AS6" s="5"/>
      <c r="AT6" s="5"/>
      <c r="AU6" s="5"/>
      <c r="AV6" s="5"/>
    </row>
    <row r="7" ht="80.15" customHeight="1" spans="2:48">
      <c r="B7" s="100" t="s">
        <v>32</v>
      </c>
      <c r="C7" s="18" t="s">
        <v>33</v>
      </c>
      <c r="D7" s="18" t="s">
        <v>21</v>
      </c>
      <c r="E7" s="19"/>
      <c r="F7" s="18" t="s">
        <v>22</v>
      </c>
      <c r="G7" s="20" t="s">
        <v>23</v>
      </c>
      <c r="H7" s="21" t="s">
        <v>24</v>
      </c>
      <c r="I7" s="22" t="s">
        <v>34</v>
      </c>
      <c r="J7" s="18" t="s">
        <v>26</v>
      </c>
      <c r="K7" s="23">
        <f t="shared" si="0"/>
        <v>19500</v>
      </c>
      <c r="L7" s="24">
        <v>25000</v>
      </c>
      <c r="M7" s="25">
        <v>0.22</v>
      </c>
      <c r="N7" s="26" t="s">
        <v>27</v>
      </c>
      <c r="O7" s="28" t="s">
        <v>28</v>
      </c>
      <c r="P7" s="27" t="s">
        <v>29</v>
      </c>
      <c r="U7" s="5"/>
      <c r="V7" s="5"/>
      <c r="W7" s="5"/>
      <c r="X7" s="5"/>
      <c r="Y7" s="5"/>
      <c r="Z7" s="5"/>
      <c r="AA7" s="5"/>
      <c r="AB7" s="5"/>
      <c r="AC7" s="5"/>
      <c r="AD7" s="5"/>
      <c r="AE7" s="5"/>
      <c r="AF7" s="5"/>
      <c r="AG7" s="5"/>
      <c r="AH7" s="5"/>
      <c r="AI7" s="5"/>
      <c r="AJ7" s="5"/>
      <c r="AK7" s="5"/>
      <c r="AL7" s="5"/>
      <c r="AM7" s="5"/>
      <c r="AN7" s="5"/>
      <c r="AO7" s="5"/>
      <c r="AP7" s="5"/>
      <c r="AQ7" s="5"/>
      <c r="AR7" s="5"/>
      <c r="AS7" s="5"/>
      <c r="AT7" s="5"/>
      <c r="AU7" s="5"/>
      <c r="AV7" s="5"/>
    </row>
    <row r="8" ht="80.15" customHeight="1" spans="2:48">
      <c r="B8" s="100" t="s">
        <v>35</v>
      </c>
      <c r="C8" s="18" t="s">
        <v>36</v>
      </c>
      <c r="D8" s="18" t="s">
        <v>21</v>
      </c>
      <c r="E8" s="19"/>
      <c r="F8" s="18" t="s">
        <v>37</v>
      </c>
      <c r="G8" s="20" t="s">
        <v>23</v>
      </c>
      <c r="H8" s="21" t="s">
        <v>24</v>
      </c>
      <c r="I8" s="22" t="s">
        <v>34</v>
      </c>
      <c r="J8" s="18" t="s">
        <v>38</v>
      </c>
      <c r="K8" s="23">
        <f t="shared" si="0"/>
        <v>17550</v>
      </c>
      <c r="L8" s="24">
        <v>22500</v>
      </c>
      <c r="M8" s="25">
        <v>0.22</v>
      </c>
      <c r="N8" s="26" t="s">
        <v>27</v>
      </c>
      <c r="O8" s="28" t="s">
        <v>39</v>
      </c>
      <c r="P8" s="27" t="s">
        <v>29</v>
      </c>
      <c r="U8" s="5"/>
      <c r="V8" s="5"/>
      <c r="W8" s="5"/>
      <c r="X8" s="5"/>
      <c r="Y8" s="5"/>
      <c r="Z8" s="5"/>
      <c r="AA8" s="5"/>
      <c r="AB8" s="5"/>
      <c r="AC8" s="5"/>
      <c r="AD8" s="5"/>
      <c r="AE8" s="5"/>
      <c r="AF8" s="5"/>
      <c r="AG8" s="5"/>
      <c r="AH8" s="5"/>
      <c r="AI8" s="5"/>
      <c r="AJ8" s="5"/>
      <c r="AK8" s="5"/>
      <c r="AL8" s="5"/>
      <c r="AM8" s="5"/>
      <c r="AN8" s="5"/>
      <c r="AO8" s="5"/>
      <c r="AP8" s="5"/>
      <c r="AQ8" s="5"/>
      <c r="AR8" s="5"/>
      <c r="AS8" s="5"/>
      <c r="AT8" s="5"/>
      <c r="AU8" s="5"/>
      <c r="AV8" s="5"/>
    </row>
    <row r="9" ht="80.15" customHeight="1" spans="2:48">
      <c r="B9" s="100" t="s">
        <v>40</v>
      </c>
      <c r="C9" s="18" t="s">
        <v>41</v>
      </c>
      <c r="D9" s="18" t="s">
        <v>21</v>
      </c>
      <c r="E9" s="19"/>
      <c r="F9" s="18" t="s">
        <v>22</v>
      </c>
      <c r="G9" s="20" t="s">
        <v>23</v>
      </c>
      <c r="H9" s="21" t="s">
        <v>24</v>
      </c>
      <c r="I9" s="22" t="s">
        <v>25</v>
      </c>
      <c r="J9" s="18" t="s">
        <v>42</v>
      </c>
      <c r="K9" s="23">
        <f t="shared" si="0"/>
        <v>23790</v>
      </c>
      <c r="L9" s="24">
        <v>30500</v>
      </c>
      <c r="M9" s="25">
        <v>0.22</v>
      </c>
      <c r="N9" s="26" t="s">
        <v>27</v>
      </c>
      <c r="O9" s="28" t="s">
        <v>43</v>
      </c>
      <c r="P9" s="27" t="s">
        <v>29</v>
      </c>
      <c r="U9" s="5"/>
      <c r="V9" s="5"/>
      <c r="W9" s="5"/>
      <c r="X9" s="5"/>
      <c r="Y9" s="5"/>
      <c r="Z9" s="5"/>
      <c r="AA9" s="5"/>
      <c r="AB9" s="5"/>
      <c r="AC9" s="5"/>
      <c r="AD9" s="5"/>
      <c r="AE9" s="5"/>
      <c r="AF9" s="5"/>
      <c r="AG9" s="5"/>
      <c r="AH9" s="5"/>
      <c r="AI9" s="5"/>
      <c r="AJ9" s="5"/>
      <c r="AK9" s="5"/>
      <c r="AL9" s="5"/>
      <c r="AM9" s="5"/>
      <c r="AN9" s="5"/>
      <c r="AO9" s="5"/>
      <c r="AP9" s="5"/>
      <c r="AQ9" s="5"/>
      <c r="AR9" s="5"/>
      <c r="AS9" s="5"/>
      <c r="AT9" s="5"/>
      <c r="AU9" s="5"/>
      <c r="AV9" s="5"/>
    </row>
    <row r="10" ht="80.15" customHeight="1" spans="2:48">
      <c r="B10" s="100" t="s">
        <v>44</v>
      </c>
      <c r="C10" s="18" t="s">
        <v>45</v>
      </c>
      <c r="D10" s="18" t="s">
        <v>21</v>
      </c>
      <c r="E10" s="19"/>
      <c r="F10" s="18" t="s">
        <v>37</v>
      </c>
      <c r="G10" s="20" t="s">
        <v>23</v>
      </c>
      <c r="H10" s="21" t="s">
        <v>24</v>
      </c>
      <c r="I10" s="22" t="s">
        <v>34</v>
      </c>
      <c r="J10" s="18" t="s">
        <v>26</v>
      </c>
      <c r="K10" s="23">
        <f t="shared" si="0"/>
        <v>17550</v>
      </c>
      <c r="L10" s="24">
        <v>22500</v>
      </c>
      <c r="M10" s="25">
        <v>0.22</v>
      </c>
      <c r="N10" s="26" t="s">
        <v>27</v>
      </c>
      <c r="O10" s="28" t="s">
        <v>46</v>
      </c>
      <c r="P10" s="27" t="s">
        <v>29</v>
      </c>
      <c r="U10" s="5"/>
      <c r="V10" s="5"/>
      <c r="W10" s="5"/>
      <c r="X10" s="5"/>
      <c r="Y10" s="5"/>
      <c r="Z10" s="5"/>
      <c r="AA10" s="5"/>
      <c r="AB10" s="5"/>
      <c r="AC10" s="5"/>
      <c r="AD10" s="5"/>
      <c r="AE10" s="5"/>
      <c r="AF10" s="5"/>
      <c r="AG10" s="5"/>
      <c r="AH10" s="5"/>
      <c r="AI10" s="5"/>
      <c r="AJ10" s="5"/>
      <c r="AK10" s="5"/>
      <c r="AL10" s="5"/>
      <c r="AM10" s="5"/>
      <c r="AN10" s="5"/>
      <c r="AO10" s="5"/>
      <c r="AP10" s="5"/>
      <c r="AQ10" s="5"/>
      <c r="AR10" s="5"/>
      <c r="AS10" s="5"/>
      <c r="AT10" s="5"/>
      <c r="AU10" s="5"/>
      <c r="AV10" s="5"/>
    </row>
    <row r="11" ht="80.15" customHeight="1" spans="2:48">
      <c r="B11" s="100" t="s">
        <v>47</v>
      </c>
      <c r="C11" s="18" t="s">
        <v>48</v>
      </c>
      <c r="D11" s="18" t="s">
        <v>21</v>
      </c>
      <c r="E11" s="19"/>
      <c r="F11" s="18" t="s">
        <v>37</v>
      </c>
      <c r="G11" s="20" t="s">
        <v>23</v>
      </c>
      <c r="H11" s="21" t="s">
        <v>24</v>
      </c>
      <c r="I11" s="22" t="s">
        <v>25</v>
      </c>
      <c r="J11" s="18" t="s">
        <v>26</v>
      </c>
      <c r="K11" s="23">
        <f t="shared" si="0"/>
        <v>17550</v>
      </c>
      <c r="L11" s="24">
        <v>22500</v>
      </c>
      <c r="M11" s="25">
        <v>0.22</v>
      </c>
      <c r="N11" s="26" t="s">
        <v>27</v>
      </c>
      <c r="O11" s="28" t="s">
        <v>49</v>
      </c>
      <c r="P11" s="27" t="s">
        <v>29</v>
      </c>
      <c r="U11" s="5"/>
      <c r="V11" s="5"/>
      <c r="W11" s="5"/>
      <c r="X11" s="5"/>
      <c r="Y11" s="5"/>
      <c r="Z11" s="5"/>
      <c r="AA11" s="5"/>
      <c r="AB11" s="5"/>
      <c r="AC11" s="5"/>
      <c r="AD11" s="5"/>
      <c r="AE11" s="5"/>
      <c r="AF11" s="5"/>
      <c r="AG11" s="5"/>
      <c r="AH11" s="5"/>
      <c r="AI11" s="5"/>
      <c r="AJ11" s="5"/>
      <c r="AK11" s="5"/>
      <c r="AL11" s="5"/>
      <c r="AM11" s="5"/>
      <c r="AN11" s="5"/>
      <c r="AO11" s="5"/>
      <c r="AP11" s="5"/>
      <c r="AQ11" s="5"/>
      <c r="AR11" s="5"/>
      <c r="AS11" s="5"/>
      <c r="AT11" s="5"/>
      <c r="AU11" s="5"/>
      <c r="AV11" s="5"/>
    </row>
    <row r="12" ht="80.15" customHeight="1" spans="2:48">
      <c r="B12" s="100" t="s">
        <v>50</v>
      </c>
      <c r="C12" s="18" t="s">
        <v>51</v>
      </c>
      <c r="D12" s="18" t="s">
        <v>21</v>
      </c>
      <c r="E12" s="19"/>
      <c r="F12" s="18" t="s">
        <v>37</v>
      </c>
      <c r="G12" s="20" t="s">
        <v>23</v>
      </c>
      <c r="H12" s="21" t="s">
        <v>24</v>
      </c>
      <c r="I12" s="22" t="s">
        <v>52</v>
      </c>
      <c r="J12" s="18" t="s">
        <v>26</v>
      </c>
      <c r="K12" s="23">
        <f t="shared" si="0"/>
        <v>8814</v>
      </c>
      <c r="L12" s="24">
        <v>11300</v>
      </c>
      <c r="M12" s="25">
        <v>0.22</v>
      </c>
      <c r="N12" s="26" t="s">
        <v>27</v>
      </c>
      <c r="O12" s="28" t="s">
        <v>53</v>
      </c>
      <c r="P12" s="27" t="s">
        <v>29</v>
      </c>
      <c r="U12" s="5"/>
      <c r="V12" s="5"/>
      <c r="W12" s="5"/>
      <c r="X12" s="5"/>
      <c r="Y12" s="5"/>
      <c r="Z12" s="5"/>
      <c r="AA12" s="5"/>
      <c r="AB12" s="5"/>
      <c r="AC12" s="5"/>
      <c r="AD12" s="5"/>
      <c r="AE12" s="5"/>
      <c r="AF12" s="5"/>
      <c r="AG12" s="5"/>
      <c r="AH12" s="5"/>
      <c r="AI12" s="5"/>
      <c r="AJ12" s="5"/>
      <c r="AK12" s="5"/>
      <c r="AL12" s="5"/>
      <c r="AM12" s="5"/>
      <c r="AN12" s="5"/>
      <c r="AO12" s="5"/>
      <c r="AP12" s="5"/>
      <c r="AQ12" s="5"/>
      <c r="AR12" s="5"/>
      <c r="AS12" s="5"/>
      <c r="AT12" s="5"/>
      <c r="AU12" s="5"/>
      <c r="AV12" s="5"/>
    </row>
    <row r="13" ht="80.15" customHeight="1" spans="2:48">
      <c r="B13" s="100" t="s">
        <v>54</v>
      </c>
      <c r="C13" s="18" t="s">
        <v>55</v>
      </c>
      <c r="D13" s="18" t="s">
        <v>21</v>
      </c>
      <c r="E13" s="19"/>
      <c r="F13" s="18" t="s">
        <v>22</v>
      </c>
      <c r="G13" s="20" t="s">
        <v>23</v>
      </c>
      <c r="H13" s="21" t="s">
        <v>24</v>
      </c>
      <c r="I13" s="22" t="s">
        <v>52</v>
      </c>
      <c r="J13" s="18" t="s">
        <v>26</v>
      </c>
      <c r="K13" s="23">
        <f t="shared" si="0"/>
        <v>6942</v>
      </c>
      <c r="L13" s="24">
        <v>8900</v>
      </c>
      <c r="M13" s="25">
        <v>0.22</v>
      </c>
      <c r="N13" s="26" t="s">
        <v>27</v>
      </c>
      <c r="O13" s="28" t="s">
        <v>56</v>
      </c>
      <c r="P13" s="27" t="s">
        <v>29</v>
      </c>
      <c r="U13" s="5"/>
      <c r="V13" s="5"/>
      <c r="W13" s="5"/>
      <c r="X13" s="5"/>
      <c r="Y13" s="5"/>
      <c r="Z13" s="5"/>
      <c r="AA13" s="5"/>
      <c r="AB13" s="5"/>
      <c r="AC13" s="5"/>
      <c r="AD13" s="5"/>
      <c r="AE13" s="5"/>
      <c r="AF13" s="5"/>
      <c r="AG13" s="5"/>
      <c r="AH13" s="5"/>
      <c r="AI13" s="5"/>
      <c r="AJ13" s="5"/>
      <c r="AK13" s="5"/>
      <c r="AL13" s="5"/>
      <c r="AM13" s="5"/>
      <c r="AN13" s="5"/>
      <c r="AO13" s="5"/>
      <c r="AP13" s="5"/>
      <c r="AQ13" s="5"/>
      <c r="AR13" s="5"/>
      <c r="AS13" s="5"/>
      <c r="AT13" s="5"/>
      <c r="AU13" s="5"/>
      <c r="AV13" s="5"/>
    </row>
    <row r="14" ht="80.15" customHeight="1" spans="2:48">
      <c r="B14" s="100" t="s">
        <v>57</v>
      </c>
      <c r="C14" s="18" t="s">
        <v>58</v>
      </c>
      <c r="D14" s="18" t="s">
        <v>21</v>
      </c>
      <c r="E14" s="19"/>
      <c r="F14" s="18" t="s">
        <v>22</v>
      </c>
      <c r="G14" s="20" t="s">
        <v>23</v>
      </c>
      <c r="H14" s="21" t="s">
        <v>24</v>
      </c>
      <c r="I14" s="22" t="s">
        <v>34</v>
      </c>
      <c r="J14" s="18" t="s">
        <v>26</v>
      </c>
      <c r="K14" s="23">
        <f t="shared" si="0"/>
        <v>15210</v>
      </c>
      <c r="L14" s="24">
        <v>19500</v>
      </c>
      <c r="M14" s="25">
        <v>0.22</v>
      </c>
      <c r="N14" s="26" t="s">
        <v>27</v>
      </c>
      <c r="O14" s="28" t="s">
        <v>59</v>
      </c>
      <c r="P14" s="27" t="s">
        <v>29</v>
      </c>
      <c r="U14" s="5"/>
      <c r="V14" s="5"/>
      <c r="W14" s="5"/>
      <c r="X14" s="5"/>
      <c r="Y14" s="5"/>
      <c r="Z14" s="5"/>
      <c r="AA14" s="5"/>
      <c r="AB14" s="5"/>
      <c r="AC14" s="5"/>
      <c r="AD14" s="5"/>
      <c r="AE14" s="5"/>
      <c r="AF14" s="5"/>
      <c r="AG14" s="5"/>
      <c r="AH14" s="5"/>
      <c r="AI14" s="5"/>
      <c r="AJ14" s="5"/>
      <c r="AK14" s="5"/>
      <c r="AL14" s="5"/>
      <c r="AM14" s="5"/>
      <c r="AN14" s="5"/>
      <c r="AO14" s="5"/>
      <c r="AP14" s="5"/>
      <c r="AQ14" s="5"/>
      <c r="AR14" s="5"/>
      <c r="AS14" s="5"/>
      <c r="AT14" s="5"/>
      <c r="AU14" s="5"/>
      <c r="AV14" s="5"/>
    </row>
    <row r="15" ht="80.15" customHeight="1" spans="2:48">
      <c r="B15" s="100" t="s">
        <v>60</v>
      </c>
      <c r="C15" s="18" t="s">
        <v>61</v>
      </c>
      <c r="D15" s="18" t="s">
        <v>21</v>
      </c>
      <c r="E15" s="19"/>
      <c r="F15" s="18" t="s">
        <v>22</v>
      </c>
      <c r="G15" s="20" t="s">
        <v>23</v>
      </c>
      <c r="H15" s="21" t="s">
        <v>24</v>
      </c>
      <c r="I15" s="22" t="s">
        <v>62</v>
      </c>
      <c r="J15" s="18" t="s">
        <v>42</v>
      </c>
      <c r="K15" s="23">
        <f t="shared" si="0"/>
        <v>9516</v>
      </c>
      <c r="L15" s="24">
        <v>12200</v>
      </c>
      <c r="M15" s="25">
        <v>0.22</v>
      </c>
      <c r="N15" s="26" t="s">
        <v>27</v>
      </c>
      <c r="O15" s="28" t="s">
        <v>63</v>
      </c>
      <c r="P15" s="27" t="s">
        <v>29</v>
      </c>
      <c r="U15" s="5"/>
      <c r="V15" s="5"/>
      <c r="W15" s="5"/>
      <c r="X15" s="5"/>
      <c r="Y15" s="5"/>
      <c r="Z15" s="5"/>
      <c r="AA15" s="5"/>
      <c r="AB15" s="5"/>
      <c r="AC15" s="5"/>
      <c r="AD15" s="5"/>
      <c r="AE15" s="5"/>
      <c r="AF15" s="5"/>
      <c r="AG15" s="5"/>
      <c r="AH15" s="5"/>
      <c r="AI15" s="5"/>
      <c r="AJ15" s="5"/>
      <c r="AK15" s="5"/>
      <c r="AL15" s="5"/>
      <c r="AM15" s="5"/>
      <c r="AN15" s="5"/>
      <c r="AO15" s="5"/>
      <c r="AP15" s="5"/>
      <c r="AQ15" s="5"/>
      <c r="AR15" s="5"/>
      <c r="AS15" s="5"/>
      <c r="AT15" s="5"/>
      <c r="AU15" s="5"/>
      <c r="AV15" s="5"/>
    </row>
    <row r="16" ht="80.15" customHeight="1" spans="2:48">
      <c r="B16" s="100" t="s">
        <v>64</v>
      </c>
      <c r="C16" s="18" t="s">
        <v>65</v>
      </c>
      <c r="D16" s="18" t="s">
        <v>21</v>
      </c>
      <c r="E16" s="19"/>
      <c r="F16" s="18" t="s">
        <v>22</v>
      </c>
      <c r="G16" s="20" t="s">
        <v>23</v>
      </c>
      <c r="H16" s="21" t="s">
        <v>24</v>
      </c>
      <c r="I16" s="22" t="s">
        <v>25</v>
      </c>
      <c r="J16" s="18" t="s">
        <v>66</v>
      </c>
      <c r="K16" s="23">
        <f t="shared" si="0"/>
        <v>14664</v>
      </c>
      <c r="L16" s="24">
        <v>18800</v>
      </c>
      <c r="M16" s="25">
        <v>0.22</v>
      </c>
      <c r="N16" s="26" t="s">
        <v>27</v>
      </c>
      <c r="O16" s="28" t="s">
        <v>67</v>
      </c>
      <c r="P16" s="27" t="s">
        <v>29</v>
      </c>
      <c r="U16" s="5"/>
      <c r="V16" s="5"/>
      <c r="W16" s="5"/>
      <c r="X16" s="5"/>
      <c r="Y16" s="5"/>
      <c r="Z16" s="5"/>
      <c r="AA16" s="5"/>
      <c r="AB16" s="5"/>
      <c r="AC16" s="5"/>
      <c r="AD16" s="5"/>
      <c r="AE16" s="5"/>
      <c r="AF16" s="5"/>
      <c r="AG16" s="5"/>
      <c r="AH16" s="5"/>
      <c r="AI16" s="5"/>
      <c r="AJ16" s="5"/>
      <c r="AK16" s="5"/>
      <c r="AL16" s="5"/>
      <c r="AM16" s="5"/>
      <c r="AN16" s="5"/>
      <c r="AO16" s="5"/>
      <c r="AP16" s="5"/>
      <c r="AQ16" s="5"/>
      <c r="AR16" s="5"/>
      <c r="AS16" s="5"/>
      <c r="AT16" s="5"/>
      <c r="AU16" s="5"/>
      <c r="AV16" s="5"/>
    </row>
    <row r="17" ht="80.15" customHeight="1" spans="2:48">
      <c r="B17" s="100" t="s">
        <v>68</v>
      </c>
      <c r="C17" s="18" t="s">
        <v>69</v>
      </c>
      <c r="D17" s="18" t="s">
        <v>21</v>
      </c>
      <c r="E17" s="19"/>
      <c r="F17" s="18" t="s">
        <v>22</v>
      </c>
      <c r="G17" s="20" t="s">
        <v>23</v>
      </c>
      <c r="H17" s="21" t="s">
        <v>24</v>
      </c>
      <c r="I17" s="22" t="s">
        <v>25</v>
      </c>
      <c r="J17" s="18" t="s">
        <v>26</v>
      </c>
      <c r="K17" s="23">
        <f t="shared" si="0"/>
        <v>15990</v>
      </c>
      <c r="L17" s="24">
        <v>20500</v>
      </c>
      <c r="M17" s="25">
        <v>0.22</v>
      </c>
      <c r="N17" s="26" t="s">
        <v>27</v>
      </c>
      <c r="O17" s="28" t="s">
        <v>70</v>
      </c>
      <c r="P17" s="27" t="s">
        <v>29</v>
      </c>
      <c r="U17" s="5"/>
      <c r="V17" s="5"/>
      <c r="W17" s="5"/>
      <c r="X17" s="5"/>
      <c r="Y17" s="5"/>
      <c r="Z17" s="5"/>
      <c r="AA17" s="5"/>
      <c r="AB17" s="5"/>
      <c r="AC17" s="5"/>
      <c r="AD17" s="5"/>
      <c r="AE17" s="5"/>
      <c r="AF17" s="5"/>
      <c r="AG17" s="5"/>
      <c r="AH17" s="5"/>
      <c r="AI17" s="5"/>
      <c r="AJ17" s="5"/>
      <c r="AK17" s="5"/>
      <c r="AL17" s="5"/>
      <c r="AM17" s="5"/>
      <c r="AN17" s="5"/>
      <c r="AO17" s="5"/>
      <c r="AP17" s="5"/>
      <c r="AQ17" s="5"/>
      <c r="AR17" s="5"/>
      <c r="AS17" s="5"/>
      <c r="AT17" s="5"/>
      <c r="AU17" s="5"/>
      <c r="AV17" s="5"/>
    </row>
    <row r="18" ht="80.15" customHeight="1" spans="2:48">
      <c r="B18" s="100" t="s">
        <v>71</v>
      </c>
      <c r="C18" s="18" t="s">
        <v>72</v>
      </c>
      <c r="D18" s="18" t="s">
        <v>21</v>
      </c>
      <c r="E18" s="19"/>
      <c r="F18" s="18" t="s">
        <v>22</v>
      </c>
      <c r="G18" s="20" t="s">
        <v>23</v>
      </c>
      <c r="H18" s="21" t="s">
        <v>24</v>
      </c>
      <c r="I18" s="22" t="s">
        <v>25</v>
      </c>
      <c r="J18" s="18" t="s">
        <v>26</v>
      </c>
      <c r="K18" s="23">
        <f t="shared" si="0"/>
        <v>18330</v>
      </c>
      <c r="L18" s="24">
        <v>23500</v>
      </c>
      <c r="M18" s="25">
        <v>0.22</v>
      </c>
      <c r="N18" s="26" t="s">
        <v>27</v>
      </c>
      <c r="O18" s="28" t="s">
        <v>73</v>
      </c>
      <c r="P18" s="27" t="s">
        <v>29</v>
      </c>
      <c r="U18" s="5"/>
      <c r="V18" s="5"/>
      <c r="W18" s="5"/>
      <c r="X18" s="5"/>
      <c r="Y18" s="5"/>
      <c r="Z18" s="5"/>
      <c r="AA18" s="5"/>
      <c r="AB18" s="5"/>
      <c r="AC18" s="5"/>
      <c r="AD18" s="5"/>
      <c r="AE18" s="5"/>
      <c r="AF18" s="5"/>
      <c r="AG18" s="5"/>
      <c r="AH18" s="5"/>
      <c r="AI18" s="5"/>
      <c r="AJ18" s="5"/>
      <c r="AK18" s="5"/>
      <c r="AL18" s="5"/>
      <c r="AM18" s="5"/>
      <c r="AN18" s="5"/>
      <c r="AO18" s="5"/>
      <c r="AP18" s="5"/>
      <c r="AQ18" s="5"/>
      <c r="AR18" s="5"/>
      <c r="AS18" s="5"/>
      <c r="AT18" s="5"/>
      <c r="AU18" s="5"/>
      <c r="AV18" s="5"/>
    </row>
    <row r="19" ht="80.15" customHeight="1" spans="2:48">
      <c r="B19" s="100" t="s">
        <v>74</v>
      </c>
      <c r="C19" s="18" t="s">
        <v>75</v>
      </c>
      <c r="D19" s="18" t="s">
        <v>76</v>
      </c>
      <c r="E19" s="19"/>
      <c r="F19" s="18" t="s">
        <v>22</v>
      </c>
      <c r="G19" s="20" t="s">
        <v>23</v>
      </c>
      <c r="H19" s="21" t="s">
        <v>77</v>
      </c>
      <c r="I19" s="22" t="s">
        <v>78</v>
      </c>
      <c r="J19" s="18" t="s">
        <v>26</v>
      </c>
      <c r="K19" s="23">
        <f t="shared" si="0"/>
        <v>6084</v>
      </c>
      <c r="L19" s="24">
        <v>7800</v>
      </c>
      <c r="M19" s="25">
        <v>0.22</v>
      </c>
      <c r="N19" s="26" t="s">
        <v>27</v>
      </c>
      <c r="O19" s="28" t="s">
        <v>79</v>
      </c>
      <c r="P19" s="27" t="s">
        <v>29</v>
      </c>
      <c r="U19" s="5"/>
      <c r="V19" s="5"/>
      <c r="W19" s="5"/>
      <c r="X19" s="5"/>
      <c r="Y19" s="5"/>
      <c r="Z19" s="5"/>
      <c r="AA19" s="5"/>
      <c r="AB19" s="5"/>
      <c r="AC19" s="5"/>
      <c r="AD19" s="5"/>
      <c r="AE19" s="5"/>
      <c r="AF19" s="5"/>
      <c r="AG19" s="5"/>
      <c r="AH19" s="5"/>
      <c r="AI19" s="5"/>
      <c r="AJ19" s="5"/>
      <c r="AK19" s="5"/>
      <c r="AL19" s="5"/>
      <c r="AM19" s="5"/>
      <c r="AN19" s="5"/>
      <c r="AO19" s="5"/>
      <c r="AP19" s="5"/>
      <c r="AQ19" s="5"/>
      <c r="AR19" s="5"/>
      <c r="AS19" s="5"/>
      <c r="AT19" s="5"/>
      <c r="AU19" s="5"/>
      <c r="AV19" s="5"/>
    </row>
    <row r="20" ht="80.15" customHeight="1" spans="2:48">
      <c r="B20" s="100" t="s">
        <v>80</v>
      </c>
      <c r="C20" s="18" t="s">
        <v>81</v>
      </c>
      <c r="D20" s="18" t="s">
        <v>76</v>
      </c>
      <c r="E20" s="19"/>
      <c r="F20" s="18" t="s">
        <v>22</v>
      </c>
      <c r="G20" s="20" t="s">
        <v>23</v>
      </c>
      <c r="H20" s="21" t="s">
        <v>77</v>
      </c>
      <c r="I20" s="22" t="s">
        <v>82</v>
      </c>
      <c r="J20" s="18" t="s">
        <v>83</v>
      </c>
      <c r="K20" s="23">
        <f t="shared" si="0"/>
        <v>8970</v>
      </c>
      <c r="L20" s="24">
        <v>11500</v>
      </c>
      <c r="M20" s="25">
        <v>0.22</v>
      </c>
      <c r="N20" s="26" t="s">
        <v>27</v>
      </c>
      <c r="O20" s="28" t="s">
        <v>84</v>
      </c>
      <c r="P20" s="27" t="s">
        <v>29</v>
      </c>
      <c r="U20" s="5"/>
      <c r="V20" s="5"/>
      <c r="W20" s="5"/>
      <c r="X20" s="5"/>
      <c r="Y20" s="5"/>
      <c r="Z20" s="5"/>
      <c r="AA20" s="5"/>
      <c r="AB20" s="5"/>
      <c r="AC20" s="5"/>
      <c r="AD20" s="5"/>
      <c r="AE20" s="5"/>
      <c r="AF20" s="5"/>
      <c r="AG20" s="5"/>
      <c r="AH20" s="5"/>
      <c r="AI20" s="5"/>
      <c r="AJ20" s="5"/>
      <c r="AK20" s="5"/>
      <c r="AL20" s="5"/>
      <c r="AM20" s="5"/>
      <c r="AN20" s="5"/>
      <c r="AO20" s="5"/>
      <c r="AP20" s="5"/>
      <c r="AQ20" s="5"/>
      <c r="AR20" s="5"/>
      <c r="AS20" s="5"/>
      <c r="AT20" s="5"/>
      <c r="AU20" s="5"/>
      <c r="AV20" s="5"/>
    </row>
    <row r="21" ht="80.15" customHeight="1" spans="2:48">
      <c r="B21" s="100" t="s">
        <v>85</v>
      </c>
      <c r="C21" s="18" t="s">
        <v>86</v>
      </c>
      <c r="D21" s="18" t="s">
        <v>76</v>
      </c>
      <c r="E21" s="19"/>
      <c r="F21" s="18" t="s">
        <v>22</v>
      </c>
      <c r="G21" s="20" t="s">
        <v>23</v>
      </c>
      <c r="H21" s="21" t="s">
        <v>77</v>
      </c>
      <c r="I21" s="22" t="s">
        <v>87</v>
      </c>
      <c r="J21" s="18" t="s">
        <v>26</v>
      </c>
      <c r="K21" s="23">
        <f t="shared" si="0"/>
        <v>7410</v>
      </c>
      <c r="L21" s="24">
        <v>9500</v>
      </c>
      <c r="M21" s="25">
        <v>0.22</v>
      </c>
      <c r="N21" s="26" t="s">
        <v>27</v>
      </c>
      <c r="O21" s="28" t="s">
        <v>88</v>
      </c>
      <c r="P21" s="27" t="s">
        <v>29</v>
      </c>
      <c r="U21" s="5"/>
      <c r="V21" s="5"/>
      <c r="W21" s="5"/>
      <c r="X21" s="5"/>
      <c r="Y21" s="5"/>
      <c r="Z21" s="5"/>
      <c r="AA21" s="5"/>
      <c r="AB21" s="5"/>
      <c r="AC21" s="5"/>
      <c r="AD21" s="5"/>
      <c r="AE21" s="5"/>
      <c r="AF21" s="5"/>
      <c r="AG21" s="5"/>
      <c r="AH21" s="5"/>
      <c r="AI21" s="5"/>
      <c r="AJ21" s="5"/>
      <c r="AK21" s="5"/>
      <c r="AL21" s="5"/>
      <c r="AM21" s="5"/>
      <c r="AN21" s="5"/>
      <c r="AO21" s="5"/>
      <c r="AP21" s="5"/>
      <c r="AQ21" s="5"/>
      <c r="AR21" s="5"/>
      <c r="AS21" s="5"/>
      <c r="AT21" s="5"/>
      <c r="AU21" s="5"/>
      <c r="AV21" s="5"/>
    </row>
    <row r="22" ht="80.15" customHeight="1" spans="2:48">
      <c r="B22" s="100" t="s">
        <v>89</v>
      </c>
      <c r="C22" s="18" t="s">
        <v>90</v>
      </c>
      <c r="D22" s="18" t="s">
        <v>76</v>
      </c>
      <c r="E22" s="19"/>
      <c r="F22" s="18" t="s">
        <v>22</v>
      </c>
      <c r="G22" s="20" t="s">
        <v>23</v>
      </c>
      <c r="H22" s="21" t="s">
        <v>77</v>
      </c>
      <c r="I22" s="22" t="s">
        <v>87</v>
      </c>
      <c r="J22" s="18" t="s">
        <v>83</v>
      </c>
      <c r="K22" s="23">
        <f t="shared" si="0"/>
        <v>9750</v>
      </c>
      <c r="L22" s="24">
        <v>12500</v>
      </c>
      <c r="M22" s="25">
        <v>0.22</v>
      </c>
      <c r="N22" s="26" t="s">
        <v>27</v>
      </c>
      <c r="O22" s="28" t="s">
        <v>91</v>
      </c>
      <c r="P22" s="27" t="s">
        <v>29</v>
      </c>
      <c r="U22" s="5"/>
      <c r="V22" s="5"/>
      <c r="W22" s="5"/>
      <c r="X22" s="5"/>
      <c r="Y22" s="5"/>
      <c r="Z22" s="5"/>
      <c r="AA22" s="5"/>
      <c r="AB22" s="5"/>
      <c r="AC22" s="5"/>
      <c r="AD22" s="5"/>
      <c r="AE22" s="5"/>
      <c r="AF22" s="5"/>
      <c r="AG22" s="5"/>
      <c r="AH22" s="5"/>
      <c r="AI22" s="5"/>
      <c r="AJ22" s="5"/>
      <c r="AK22" s="5"/>
      <c r="AL22" s="5"/>
      <c r="AM22" s="5"/>
      <c r="AN22" s="5"/>
      <c r="AO22" s="5"/>
      <c r="AP22" s="5"/>
      <c r="AQ22" s="5"/>
      <c r="AR22" s="5"/>
      <c r="AS22" s="5"/>
      <c r="AT22" s="5"/>
      <c r="AU22" s="5"/>
      <c r="AV22" s="5"/>
    </row>
    <row r="23" ht="80.15" customHeight="1" spans="2:48">
      <c r="B23" s="100" t="s">
        <v>92</v>
      </c>
      <c r="C23" s="18" t="s">
        <v>93</v>
      </c>
      <c r="D23" s="18" t="s">
        <v>76</v>
      </c>
      <c r="E23" s="19"/>
      <c r="F23" s="18" t="s">
        <v>22</v>
      </c>
      <c r="G23" s="20" t="s">
        <v>23</v>
      </c>
      <c r="H23" s="21" t="s">
        <v>77</v>
      </c>
      <c r="I23" s="22" t="s">
        <v>87</v>
      </c>
      <c r="J23" s="18" t="s">
        <v>83</v>
      </c>
      <c r="K23" s="23">
        <f t="shared" si="0"/>
        <v>9126</v>
      </c>
      <c r="L23" s="24">
        <v>11700</v>
      </c>
      <c r="M23" s="25">
        <v>0.22</v>
      </c>
      <c r="N23" s="26" t="s">
        <v>27</v>
      </c>
      <c r="O23" s="28" t="s">
        <v>94</v>
      </c>
      <c r="P23" s="27" t="s">
        <v>29</v>
      </c>
      <c r="U23" s="5"/>
      <c r="V23" s="5"/>
      <c r="W23" s="5"/>
      <c r="X23" s="5"/>
      <c r="Y23" s="5"/>
      <c r="Z23" s="5"/>
      <c r="AA23" s="5"/>
      <c r="AB23" s="5"/>
      <c r="AC23" s="5"/>
      <c r="AD23" s="5"/>
      <c r="AE23" s="5"/>
      <c r="AF23" s="5"/>
      <c r="AG23" s="5"/>
      <c r="AH23" s="5"/>
      <c r="AI23" s="5"/>
      <c r="AJ23" s="5"/>
      <c r="AK23" s="5"/>
      <c r="AL23" s="5"/>
      <c r="AM23" s="5"/>
      <c r="AN23" s="5"/>
      <c r="AO23" s="5"/>
      <c r="AP23" s="5"/>
      <c r="AQ23" s="5"/>
      <c r="AR23" s="5"/>
      <c r="AS23" s="5"/>
      <c r="AT23" s="5"/>
      <c r="AU23" s="5"/>
      <c r="AV23" s="5"/>
    </row>
    <row r="24" ht="80.15" customHeight="1" spans="2:48">
      <c r="B24" s="100" t="s">
        <v>95</v>
      </c>
      <c r="C24" s="18" t="s">
        <v>96</v>
      </c>
      <c r="D24" s="18" t="s">
        <v>76</v>
      </c>
      <c r="E24" s="19"/>
      <c r="F24" s="18" t="s">
        <v>37</v>
      </c>
      <c r="G24" s="20" t="s">
        <v>23</v>
      </c>
      <c r="H24" s="21" t="s">
        <v>77</v>
      </c>
      <c r="I24" s="22" t="s">
        <v>97</v>
      </c>
      <c r="J24" s="18" t="s">
        <v>26</v>
      </c>
      <c r="K24" s="23">
        <f t="shared" si="0"/>
        <v>9750</v>
      </c>
      <c r="L24" s="24">
        <v>12500</v>
      </c>
      <c r="M24" s="25">
        <v>0.22</v>
      </c>
      <c r="N24" s="26" t="s">
        <v>27</v>
      </c>
      <c r="O24" s="28" t="s">
        <v>98</v>
      </c>
      <c r="P24" s="27" t="s">
        <v>29</v>
      </c>
      <c r="U24" s="5"/>
      <c r="V24" s="5"/>
      <c r="W24" s="5"/>
      <c r="X24" s="5"/>
      <c r="Y24" s="5"/>
      <c r="Z24" s="5"/>
      <c r="AA24" s="5"/>
      <c r="AB24" s="5"/>
      <c r="AC24" s="5"/>
      <c r="AD24" s="5"/>
      <c r="AE24" s="5"/>
      <c r="AF24" s="5"/>
      <c r="AG24" s="5"/>
      <c r="AH24" s="5"/>
      <c r="AI24" s="5"/>
      <c r="AJ24" s="5"/>
      <c r="AK24" s="5"/>
      <c r="AL24" s="5"/>
      <c r="AM24" s="5"/>
      <c r="AN24" s="5"/>
      <c r="AO24" s="5"/>
      <c r="AP24" s="5"/>
      <c r="AQ24" s="5"/>
      <c r="AR24" s="5"/>
      <c r="AS24" s="5"/>
      <c r="AT24" s="5"/>
      <c r="AU24" s="5"/>
      <c r="AV24" s="5"/>
    </row>
    <row r="25" ht="80.15" customHeight="1" spans="2:48">
      <c r="B25" s="100" t="s">
        <v>99</v>
      </c>
      <c r="C25" s="18" t="s">
        <v>100</v>
      </c>
      <c r="D25" s="18" t="s">
        <v>76</v>
      </c>
      <c r="E25" s="19"/>
      <c r="F25" s="18" t="s">
        <v>22</v>
      </c>
      <c r="G25" s="20" t="s">
        <v>23</v>
      </c>
      <c r="H25" s="21" t="s">
        <v>77</v>
      </c>
      <c r="I25" s="22" t="s">
        <v>87</v>
      </c>
      <c r="J25" s="18" t="s">
        <v>26</v>
      </c>
      <c r="K25" s="23">
        <f t="shared" si="0"/>
        <v>8346</v>
      </c>
      <c r="L25" s="24">
        <v>10700</v>
      </c>
      <c r="M25" s="25">
        <v>0.22</v>
      </c>
      <c r="N25" s="26" t="s">
        <v>27</v>
      </c>
      <c r="O25" s="28" t="s">
        <v>101</v>
      </c>
      <c r="P25" s="27" t="s">
        <v>29</v>
      </c>
      <c r="U25" s="5"/>
      <c r="V25" s="5"/>
      <c r="W25" s="5"/>
      <c r="X25" s="5"/>
      <c r="Y25" s="5"/>
      <c r="Z25" s="5"/>
      <c r="AA25" s="5"/>
      <c r="AB25" s="5"/>
      <c r="AC25" s="5"/>
      <c r="AD25" s="5"/>
      <c r="AE25" s="5"/>
      <c r="AF25" s="5"/>
      <c r="AG25" s="5"/>
      <c r="AH25" s="5"/>
      <c r="AI25" s="5"/>
      <c r="AJ25" s="5"/>
      <c r="AK25" s="5"/>
      <c r="AL25" s="5"/>
      <c r="AM25" s="5"/>
      <c r="AN25" s="5"/>
      <c r="AO25" s="5"/>
      <c r="AP25" s="5"/>
      <c r="AQ25" s="5"/>
      <c r="AR25" s="5"/>
      <c r="AS25" s="5"/>
      <c r="AT25" s="5"/>
      <c r="AU25" s="5"/>
      <c r="AV25" s="5"/>
    </row>
    <row r="26" ht="80.15" customHeight="1" spans="2:48">
      <c r="B26" s="100" t="s">
        <v>102</v>
      </c>
      <c r="C26" s="18" t="s">
        <v>103</v>
      </c>
      <c r="D26" s="18" t="s">
        <v>76</v>
      </c>
      <c r="E26" s="19"/>
      <c r="F26" s="18" t="s">
        <v>22</v>
      </c>
      <c r="G26" s="20" t="s">
        <v>23</v>
      </c>
      <c r="H26" s="21" t="s">
        <v>77</v>
      </c>
      <c r="I26" s="22" t="s">
        <v>104</v>
      </c>
      <c r="J26" s="18" t="s">
        <v>26</v>
      </c>
      <c r="K26" s="23">
        <f t="shared" si="0"/>
        <v>10530</v>
      </c>
      <c r="L26" s="24">
        <v>13500</v>
      </c>
      <c r="M26" s="25">
        <v>0.22</v>
      </c>
      <c r="N26" s="26" t="s">
        <v>27</v>
      </c>
      <c r="O26" s="28" t="s">
        <v>105</v>
      </c>
      <c r="P26" s="27" t="s">
        <v>29</v>
      </c>
      <c r="U26" s="5"/>
      <c r="V26" s="5"/>
      <c r="W26" s="5"/>
      <c r="X26" s="5"/>
      <c r="Y26" s="5"/>
      <c r="Z26" s="5"/>
      <c r="AA26" s="5"/>
      <c r="AB26" s="5"/>
      <c r="AC26" s="5"/>
      <c r="AD26" s="5"/>
      <c r="AE26" s="5"/>
      <c r="AF26" s="5"/>
      <c r="AG26" s="5"/>
      <c r="AH26" s="5"/>
      <c r="AI26" s="5"/>
      <c r="AJ26" s="5"/>
      <c r="AK26" s="5"/>
      <c r="AL26" s="5"/>
      <c r="AM26" s="5"/>
      <c r="AN26" s="5"/>
      <c r="AO26" s="5"/>
      <c r="AP26" s="5"/>
      <c r="AQ26" s="5"/>
      <c r="AR26" s="5"/>
      <c r="AS26" s="5"/>
      <c r="AT26" s="5"/>
      <c r="AU26" s="5"/>
      <c r="AV26" s="5"/>
    </row>
    <row r="27" ht="80.15" customHeight="1" spans="2:48">
      <c r="B27" s="100" t="s">
        <v>106</v>
      </c>
      <c r="C27" s="18" t="s">
        <v>107</v>
      </c>
      <c r="D27" s="18" t="s">
        <v>76</v>
      </c>
      <c r="E27" s="19"/>
      <c r="F27" s="18" t="s">
        <v>22</v>
      </c>
      <c r="G27" s="20" t="s">
        <v>23</v>
      </c>
      <c r="H27" s="21" t="s">
        <v>77</v>
      </c>
      <c r="I27" s="22" t="s">
        <v>108</v>
      </c>
      <c r="J27" s="18" t="s">
        <v>26</v>
      </c>
      <c r="K27" s="23">
        <f t="shared" si="0"/>
        <v>5382</v>
      </c>
      <c r="L27" s="24">
        <v>6900</v>
      </c>
      <c r="M27" s="25">
        <v>0.22</v>
      </c>
      <c r="N27" s="26" t="s">
        <v>27</v>
      </c>
      <c r="O27" s="28" t="s">
        <v>109</v>
      </c>
      <c r="P27" s="27" t="s">
        <v>29</v>
      </c>
      <c r="U27" s="5"/>
      <c r="V27" s="5"/>
      <c r="W27" s="5"/>
      <c r="X27" s="5"/>
      <c r="Y27" s="5"/>
      <c r="Z27" s="5"/>
      <c r="AA27" s="5"/>
      <c r="AB27" s="5"/>
      <c r="AC27" s="5"/>
      <c r="AD27" s="5"/>
      <c r="AE27" s="5"/>
      <c r="AF27" s="5"/>
      <c r="AG27" s="5"/>
      <c r="AH27" s="5"/>
      <c r="AI27" s="5"/>
      <c r="AJ27" s="5"/>
      <c r="AK27" s="5"/>
      <c r="AL27" s="5"/>
      <c r="AM27" s="5"/>
      <c r="AN27" s="5"/>
      <c r="AO27" s="5"/>
      <c r="AP27" s="5"/>
      <c r="AQ27" s="5"/>
      <c r="AR27" s="5"/>
      <c r="AS27" s="5"/>
      <c r="AT27" s="5"/>
      <c r="AU27" s="5"/>
      <c r="AV27" s="5"/>
    </row>
    <row r="28" ht="80.15" customHeight="1" spans="2:48">
      <c r="B28" s="100" t="s">
        <v>110</v>
      </c>
      <c r="C28" s="18" t="s">
        <v>111</v>
      </c>
      <c r="D28" s="18" t="s">
        <v>76</v>
      </c>
      <c r="E28" s="19"/>
      <c r="F28" s="18" t="s">
        <v>22</v>
      </c>
      <c r="G28" s="20" t="s">
        <v>23</v>
      </c>
      <c r="H28" s="21" t="s">
        <v>77</v>
      </c>
      <c r="I28" s="22" t="s">
        <v>112</v>
      </c>
      <c r="J28" s="18" t="s">
        <v>113</v>
      </c>
      <c r="K28" s="23">
        <f t="shared" si="0"/>
        <v>5148</v>
      </c>
      <c r="L28" s="24">
        <v>6600</v>
      </c>
      <c r="M28" s="25">
        <v>0.22</v>
      </c>
      <c r="N28" s="26" t="s">
        <v>27</v>
      </c>
      <c r="O28" s="28" t="s">
        <v>114</v>
      </c>
      <c r="P28" s="27" t="s">
        <v>29</v>
      </c>
      <c r="U28" s="5"/>
      <c r="V28" s="5"/>
      <c r="W28" s="5"/>
      <c r="X28" s="5"/>
      <c r="Y28" s="5"/>
      <c r="Z28" s="5"/>
      <c r="AA28" s="5"/>
      <c r="AB28" s="5"/>
      <c r="AC28" s="5"/>
      <c r="AD28" s="5"/>
      <c r="AE28" s="5"/>
      <c r="AF28" s="5"/>
      <c r="AG28" s="5"/>
      <c r="AH28" s="5"/>
      <c r="AI28" s="5"/>
      <c r="AJ28" s="5"/>
      <c r="AK28" s="5"/>
      <c r="AL28" s="5"/>
      <c r="AM28" s="5"/>
      <c r="AN28" s="5"/>
      <c r="AO28" s="5"/>
      <c r="AP28" s="5"/>
      <c r="AQ28" s="5"/>
      <c r="AR28" s="5"/>
      <c r="AS28" s="5"/>
      <c r="AT28" s="5"/>
      <c r="AU28" s="5"/>
      <c r="AV28" s="5"/>
    </row>
    <row r="29" ht="80.15" customHeight="1" spans="2:48">
      <c r="B29" s="100" t="s">
        <v>115</v>
      </c>
      <c r="C29" s="18" t="s">
        <v>116</v>
      </c>
      <c r="D29" s="18" t="s">
        <v>76</v>
      </c>
      <c r="E29" s="19"/>
      <c r="F29" s="18" t="s">
        <v>22</v>
      </c>
      <c r="G29" s="20" t="s">
        <v>23</v>
      </c>
      <c r="H29" s="21" t="s">
        <v>77</v>
      </c>
      <c r="I29" s="22" t="s">
        <v>52</v>
      </c>
      <c r="J29" s="18" t="s">
        <v>117</v>
      </c>
      <c r="K29" s="23">
        <f t="shared" si="0"/>
        <v>11310</v>
      </c>
      <c r="L29" s="24">
        <v>14500</v>
      </c>
      <c r="M29" s="25">
        <v>0.22</v>
      </c>
      <c r="N29" s="26" t="s">
        <v>27</v>
      </c>
      <c r="O29" s="28" t="s">
        <v>118</v>
      </c>
      <c r="P29" s="27" t="s">
        <v>29</v>
      </c>
      <c r="U29" s="5"/>
      <c r="V29" s="5"/>
      <c r="W29" s="5"/>
      <c r="X29" s="5"/>
      <c r="Y29" s="5"/>
      <c r="Z29" s="5"/>
      <c r="AA29" s="5"/>
      <c r="AB29" s="5"/>
      <c r="AC29" s="5"/>
      <c r="AD29" s="5"/>
      <c r="AE29" s="5"/>
      <c r="AF29" s="5"/>
      <c r="AG29" s="5"/>
      <c r="AH29" s="5"/>
      <c r="AI29" s="5"/>
      <c r="AJ29" s="5"/>
      <c r="AK29" s="5"/>
      <c r="AL29" s="5"/>
      <c r="AM29" s="5"/>
      <c r="AN29" s="5"/>
      <c r="AO29" s="5"/>
      <c r="AP29" s="5"/>
      <c r="AQ29" s="5"/>
      <c r="AR29" s="5"/>
      <c r="AS29" s="5"/>
      <c r="AT29" s="5"/>
      <c r="AU29" s="5"/>
      <c r="AV29" s="5"/>
    </row>
    <row r="30" ht="80.15" customHeight="1" spans="2:48">
      <c r="B30" s="100" t="s">
        <v>119</v>
      </c>
      <c r="C30" s="18" t="s">
        <v>120</v>
      </c>
      <c r="D30" s="18" t="s">
        <v>76</v>
      </c>
      <c r="E30" s="19"/>
      <c r="F30" s="18" t="s">
        <v>22</v>
      </c>
      <c r="G30" s="20" t="s">
        <v>23</v>
      </c>
      <c r="H30" s="21" t="s">
        <v>77</v>
      </c>
      <c r="I30" s="22" t="s">
        <v>121</v>
      </c>
      <c r="J30" s="18" t="s">
        <v>26</v>
      </c>
      <c r="K30" s="23">
        <f t="shared" si="0"/>
        <v>4680</v>
      </c>
      <c r="L30" s="24">
        <v>6000</v>
      </c>
      <c r="M30" s="25">
        <v>0.22</v>
      </c>
      <c r="N30" s="26" t="s">
        <v>27</v>
      </c>
      <c r="O30" s="28" t="s">
        <v>122</v>
      </c>
      <c r="P30" s="27" t="s">
        <v>29</v>
      </c>
      <c r="U30" s="5"/>
      <c r="V30" s="5"/>
      <c r="W30" s="5"/>
      <c r="X30" s="5"/>
      <c r="Y30" s="5"/>
      <c r="Z30" s="5"/>
      <c r="AA30" s="5"/>
      <c r="AB30" s="5"/>
      <c r="AC30" s="5"/>
      <c r="AD30" s="5"/>
      <c r="AE30" s="5"/>
      <c r="AF30" s="5"/>
      <c r="AG30" s="5"/>
      <c r="AH30" s="5"/>
      <c r="AI30" s="5"/>
      <c r="AJ30" s="5"/>
      <c r="AK30" s="5"/>
      <c r="AL30" s="5"/>
      <c r="AM30" s="5"/>
      <c r="AN30" s="5"/>
      <c r="AO30" s="5"/>
      <c r="AP30" s="5"/>
      <c r="AQ30" s="5"/>
      <c r="AR30" s="5"/>
      <c r="AS30" s="5"/>
      <c r="AT30" s="5"/>
      <c r="AU30" s="5"/>
      <c r="AV30" s="5"/>
    </row>
    <row r="31" ht="80.15" customHeight="1" spans="2:48">
      <c r="B31" s="100" t="s">
        <v>123</v>
      </c>
      <c r="C31" s="18" t="s">
        <v>124</v>
      </c>
      <c r="D31" s="18" t="s">
        <v>76</v>
      </c>
      <c r="E31" s="19"/>
      <c r="F31" s="18" t="s">
        <v>22</v>
      </c>
      <c r="G31" s="20" t="s">
        <v>23</v>
      </c>
      <c r="H31" s="21" t="s">
        <v>77</v>
      </c>
      <c r="I31" s="22" t="s">
        <v>125</v>
      </c>
      <c r="J31" s="18" t="s">
        <v>126</v>
      </c>
      <c r="K31" s="23">
        <f t="shared" si="0"/>
        <v>11466</v>
      </c>
      <c r="L31" s="24">
        <v>14700</v>
      </c>
      <c r="M31" s="25">
        <v>0.22</v>
      </c>
      <c r="N31" s="26" t="s">
        <v>27</v>
      </c>
      <c r="O31" s="28" t="s">
        <v>127</v>
      </c>
      <c r="P31" s="27" t="s">
        <v>29</v>
      </c>
      <c r="U31" s="5"/>
      <c r="V31" s="5"/>
      <c r="W31" s="5"/>
      <c r="X31" s="5"/>
      <c r="Y31" s="5"/>
      <c r="Z31" s="5"/>
      <c r="AA31" s="5"/>
      <c r="AB31" s="5"/>
      <c r="AC31" s="5"/>
      <c r="AD31" s="5"/>
      <c r="AE31" s="5"/>
      <c r="AF31" s="5"/>
      <c r="AG31" s="5"/>
      <c r="AH31" s="5"/>
      <c r="AI31" s="5"/>
      <c r="AJ31" s="5"/>
      <c r="AK31" s="5"/>
      <c r="AL31" s="5"/>
      <c r="AM31" s="5"/>
      <c r="AN31" s="5"/>
      <c r="AO31" s="5"/>
      <c r="AP31" s="5"/>
      <c r="AQ31" s="5"/>
      <c r="AR31" s="5"/>
      <c r="AS31" s="5"/>
      <c r="AT31" s="5"/>
      <c r="AU31" s="5"/>
      <c r="AV31" s="5"/>
    </row>
    <row r="32" ht="80.15" customHeight="1" spans="2:48">
      <c r="B32" s="100" t="s">
        <v>128</v>
      </c>
      <c r="C32" s="18" t="s">
        <v>129</v>
      </c>
      <c r="D32" s="18" t="s">
        <v>76</v>
      </c>
      <c r="E32" s="18"/>
      <c r="F32" s="18" t="s">
        <v>22</v>
      </c>
      <c r="G32" s="20" t="s">
        <v>23</v>
      </c>
      <c r="H32" s="21" t="s">
        <v>77</v>
      </c>
      <c r="I32" s="22" t="s">
        <v>121</v>
      </c>
      <c r="J32" s="18" t="s">
        <v>83</v>
      </c>
      <c r="K32" s="23">
        <f t="shared" si="0"/>
        <v>8814</v>
      </c>
      <c r="L32" s="24">
        <v>11300</v>
      </c>
      <c r="M32" s="25">
        <v>0.22</v>
      </c>
      <c r="N32" s="26" t="s">
        <v>27</v>
      </c>
      <c r="O32" s="28" t="s">
        <v>130</v>
      </c>
      <c r="P32" s="27" t="s">
        <v>29</v>
      </c>
      <c r="U32" s="5"/>
      <c r="V32" s="5"/>
      <c r="W32" s="5"/>
      <c r="X32" s="5"/>
      <c r="Y32" s="5"/>
      <c r="Z32" s="5"/>
      <c r="AA32" s="5"/>
      <c r="AB32" s="5"/>
      <c r="AC32" s="5"/>
      <c r="AD32" s="5"/>
      <c r="AE32" s="5"/>
      <c r="AF32" s="5"/>
      <c r="AG32" s="5"/>
      <c r="AH32" s="5"/>
      <c r="AI32" s="5"/>
      <c r="AJ32" s="5"/>
      <c r="AK32" s="5"/>
      <c r="AL32" s="5"/>
      <c r="AM32" s="5"/>
      <c r="AN32" s="5"/>
      <c r="AO32" s="5"/>
      <c r="AP32" s="5"/>
      <c r="AQ32" s="5"/>
      <c r="AR32" s="5"/>
      <c r="AS32" s="5"/>
      <c r="AT32" s="5"/>
      <c r="AU32" s="5"/>
      <c r="AV32" s="5"/>
    </row>
    <row r="33" ht="50.15" customHeight="1" spans="2:48">
      <c r="B33" s="29" t="s">
        <v>131</v>
      </c>
      <c r="C33" s="30"/>
      <c r="D33" s="30"/>
      <c r="E33" s="30"/>
      <c r="F33" s="30"/>
      <c r="G33" s="30"/>
      <c r="H33" s="30"/>
      <c r="I33" s="30"/>
      <c r="J33" s="30"/>
      <c r="K33" s="30"/>
      <c r="L33" s="30"/>
      <c r="M33" s="31"/>
      <c r="N33" s="26" t="s">
        <v>27</v>
      </c>
      <c r="O33" s="28" t="s">
        <v>132</v>
      </c>
      <c r="P33" s="27" t="s">
        <v>29</v>
      </c>
      <c r="U33" s="5"/>
      <c r="V33" s="5"/>
      <c r="W33" s="5"/>
      <c r="X33" s="5"/>
      <c r="Y33" s="5"/>
      <c r="Z33" s="5"/>
      <c r="AA33" s="5"/>
      <c r="AB33" s="5"/>
      <c r="AC33" s="5"/>
      <c r="AD33" s="5"/>
      <c r="AE33" s="5"/>
      <c r="AF33" s="5"/>
      <c r="AG33" s="5"/>
      <c r="AH33" s="5"/>
      <c r="AI33" s="5"/>
      <c r="AJ33" s="5"/>
      <c r="AK33" s="5"/>
      <c r="AL33" s="5"/>
      <c r="AM33" s="5"/>
      <c r="AN33" s="5"/>
      <c r="AO33" s="5"/>
      <c r="AP33" s="5"/>
      <c r="AQ33" s="5"/>
      <c r="AR33" s="5"/>
      <c r="AS33" s="5"/>
      <c r="AT33" s="5"/>
      <c r="AU33" s="5"/>
      <c r="AV33" s="5"/>
    </row>
    <row r="34" ht="80.15" customHeight="1" spans="2:48">
      <c r="B34" s="17">
        <v>29</v>
      </c>
      <c r="C34" s="18" t="s">
        <v>133</v>
      </c>
      <c r="D34" s="18" t="s">
        <v>134</v>
      </c>
      <c r="E34" s="19"/>
      <c r="F34" s="18" t="s">
        <v>22</v>
      </c>
      <c r="G34" s="20" t="s">
        <v>23</v>
      </c>
      <c r="H34" s="21" t="s">
        <v>135</v>
      </c>
      <c r="I34" s="22" t="s">
        <v>136</v>
      </c>
      <c r="J34" s="18" t="s">
        <v>137</v>
      </c>
      <c r="K34" s="23">
        <f t="shared" ref="K34:K40" si="1">L34*(1-0.22)</f>
        <v>4992</v>
      </c>
      <c r="L34" s="24">
        <v>6400</v>
      </c>
      <c r="M34" s="25">
        <v>0.22</v>
      </c>
      <c r="N34" s="26" t="s">
        <v>27</v>
      </c>
      <c r="O34" s="28" t="s">
        <v>138</v>
      </c>
      <c r="P34" s="27" t="s">
        <v>29</v>
      </c>
      <c r="U34" s="5"/>
      <c r="V34" s="5"/>
      <c r="W34" s="5"/>
      <c r="X34" s="5"/>
      <c r="Y34" s="5"/>
      <c r="Z34" s="5"/>
      <c r="AA34" s="5"/>
      <c r="AB34" s="5"/>
      <c r="AC34" s="5"/>
      <c r="AD34" s="5"/>
      <c r="AE34" s="5"/>
      <c r="AF34" s="5"/>
      <c r="AG34" s="5"/>
      <c r="AH34" s="5"/>
      <c r="AI34" s="5"/>
      <c r="AJ34" s="5"/>
      <c r="AK34" s="5"/>
      <c r="AL34" s="5"/>
      <c r="AM34" s="5"/>
      <c r="AN34" s="5"/>
      <c r="AO34" s="5"/>
      <c r="AP34" s="5"/>
      <c r="AQ34" s="5"/>
      <c r="AR34" s="5"/>
      <c r="AS34" s="5"/>
      <c r="AT34" s="5"/>
      <c r="AU34" s="5"/>
      <c r="AV34" s="5"/>
    </row>
    <row r="35" ht="80.15" customHeight="1" spans="2:48">
      <c r="B35" s="17">
        <v>30</v>
      </c>
      <c r="C35" s="18" t="s">
        <v>139</v>
      </c>
      <c r="D35" s="18" t="s">
        <v>134</v>
      </c>
      <c r="E35" s="19"/>
      <c r="F35" s="18" t="s">
        <v>22</v>
      </c>
      <c r="G35" s="20" t="s">
        <v>23</v>
      </c>
      <c r="H35" s="21" t="s">
        <v>135</v>
      </c>
      <c r="I35" s="22" t="s">
        <v>140</v>
      </c>
      <c r="J35" s="18" t="s">
        <v>141</v>
      </c>
      <c r="K35" s="23">
        <f t="shared" si="1"/>
        <v>4836</v>
      </c>
      <c r="L35" s="24">
        <v>6200</v>
      </c>
      <c r="M35" s="25">
        <v>0.22</v>
      </c>
      <c r="N35" s="26" t="s">
        <v>27</v>
      </c>
      <c r="O35" s="28" t="s">
        <v>142</v>
      </c>
      <c r="P35" s="27" t="s">
        <v>29</v>
      </c>
      <c r="U35" s="5"/>
      <c r="V35" s="5"/>
      <c r="W35" s="5"/>
      <c r="X35" s="5"/>
      <c r="Y35" s="5"/>
      <c r="Z35" s="5"/>
      <c r="AA35" s="5"/>
      <c r="AB35" s="5"/>
      <c r="AC35" s="5"/>
      <c r="AD35" s="5"/>
      <c r="AE35" s="5"/>
      <c r="AF35" s="5"/>
      <c r="AG35" s="5"/>
      <c r="AH35" s="5"/>
      <c r="AI35" s="5"/>
      <c r="AJ35" s="5"/>
      <c r="AK35" s="5"/>
      <c r="AL35" s="5"/>
      <c r="AM35" s="5"/>
      <c r="AN35" s="5"/>
      <c r="AO35" s="5"/>
      <c r="AP35" s="5"/>
      <c r="AQ35" s="5"/>
      <c r="AR35" s="5"/>
      <c r="AS35" s="5"/>
      <c r="AT35" s="5"/>
      <c r="AU35" s="5"/>
      <c r="AV35" s="5"/>
    </row>
    <row r="36" ht="80.15" customHeight="1" spans="2:48">
      <c r="B36" s="17">
        <v>31</v>
      </c>
      <c r="C36" s="18" t="s">
        <v>143</v>
      </c>
      <c r="D36" s="18" t="s">
        <v>134</v>
      </c>
      <c r="E36" s="19"/>
      <c r="F36" s="18" t="s">
        <v>22</v>
      </c>
      <c r="G36" s="20" t="s">
        <v>23</v>
      </c>
      <c r="H36" s="21" t="s">
        <v>135</v>
      </c>
      <c r="I36" s="22" t="s">
        <v>140</v>
      </c>
      <c r="J36" s="18" t="s">
        <v>83</v>
      </c>
      <c r="K36" s="23">
        <f t="shared" si="1"/>
        <v>4446</v>
      </c>
      <c r="L36" s="24">
        <v>5700</v>
      </c>
      <c r="M36" s="25">
        <v>0.22</v>
      </c>
      <c r="N36" s="26" t="s">
        <v>27</v>
      </c>
      <c r="O36" s="28" t="s">
        <v>144</v>
      </c>
      <c r="P36" s="27" t="s">
        <v>29</v>
      </c>
      <c r="U36" s="5"/>
      <c r="V36" s="5"/>
      <c r="W36" s="5"/>
      <c r="X36" s="5"/>
      <c r="Y36" s="5"/>
      <c r="Z36" s="5"/>
      <c r="AA36" s="5"/>
      <c r="AB36" s="5"/>
      <c r="AC36" s="5"/>
      <c r="AD36" s="5"/>
      <c r="AE36" s="5"/>
      <c r="AF36" s="5"/>
      <c r="AG36" s="5"/>
      <c r="AH36" s="5"/>
      <c r="AI36" s="5"/>
      <c r="AJ36" s="5"/>
      <c r="AK36" s="5"/>
      <c r="AL36" s="5"/>
      <c r="AM36" s="5"/>
      <c r="AN36" s="5"/>
      <c r="AO36" s="5"/>
      <c r="AP36" s="5"/>
      <c r="AQ36" s="5"/>
      <c r="AR36" s="5"/>
      <c r="AS36" s="5"/>
      <c r="AT36" s="5"/>
      <c r="AU36" s="5"/>
      <c r="AV36" s="5"/>
    </row>
    <row r="37" ht="80.15" customHeight="1" spans="2:48">
      <c r="B37" s="17">
        <v>32</v>
      </c>
      <c r="C37" s="18" t="s">
        <v>145</v>
      </c>
      <c r="D37" s="18" t="s">
        <v>134</v>
      </c>
      <c r="E37" s="19"/>
      <c r="F37" s="18" t="s">
        <v>22</v>
      </c>
      <c r="G37" s="20" t="s">
        <v>23</v>
      </c>
      <c r="H37" s="21" t="s">
        <v>135</v>
      </c>
      <c r="I37" s="22" t="s">
        <v>146</v>
      </c>
      <c r="J37" s="18" t="s">
        <v>83</v>
      </c>
      <c r="K37" s="23">
        <f t="shared" si="1"/>
        <v>4212</v>
      </c>
      <c r="L37" s="24">
        <v>5400</v>
      </c>
      <c r="M37" s="25">
        <v>0.22</v>
      </c>
      <c r="N37" s="26" t="s">
        <v>27</v>
      </c>
      <c r="O37" s="28" t="s">
        <v>147</v>
      </c>
      <c r="P37" s="27" t="s">
        <v>29</v>
      </c>
      <c r="U37" s="5"/>
      <c r="V37" s="5"/>
      <c r="W37" s="5"/>
      <c r="X37" s="5"/>
      <c r="Y37" s="5"/>
      <c r="Z37" s="5"/>
      <c r="AA37" s="5"/>
      <c r="AB37" s="5"/>
      <c r="AC37" s="5"/>
      <c r="AD37" s="5"/>
      <c r="AE37" s="5"/>
      <c r="AF37" s="5"/>
      <c r="AG37" s="5"/>
      <c r="AH37" s="5"/>
      <c r="AI37" s="5"/>
      <c r="AJ37" s="5"/>
      <c r="AK37" s="5"/>
      <c r="AL37" s="5"/>
      <c r="AM37" s="5"/>
      <c r="AN37" s="5"/>
      <c r="AO37" s="5"/>
      <c r="AP37" s="5"/>
      <c r="AQ37" s="5"/>
      <c r="AR37" s="5"/>
      <c r="AS37" s="5"/>
      <c r="AT37" s="5"/>
      <c r="AU37" s="5"/>
      <c r="AV37" s="5"/>
    </row>
    <row r="38" ht="80.15" customHeight="1" spans="2:48">
      <c r="B38" s="17">
        <v>33</v>
      </c>
      <c r="C38" s="18" t="s">
        <v>148</v>
      </c>
      <c r="D38" s="18" t="s">
        <v>149</v>
      </c>
      <c r="E38" s="19"/>
      <c r="F38" s="18" t="s">
        <v>22</v>
      </c>
      <c r="G38" s="20" t="s">
        <v>23</v>
      </c>
      <c r="H38" s="21" t="s">
        <v>135</v>
      </c>
      <c r="I38" s="22" t="s">
        <v>150</v>
      </c>
      <c r="J38" s="18" t="s">
        <v>151</v>
      </c>
      <c r="K38" s="23">
        <f t="shared" si="1"/>
        <v>3354</v>
      </c>
      <c r="L38" s="24">
        <v>4300</v>
      </c>
      <c r="M38" s="25">
        <v>0.22</v>
      </c>
      <c r="N38" s="26" t="s">
        <v>27</v>
      </c>
      <c r="O38" s="28" t="s">
        <v>152</v>
      </c>
      <c r="P38" s="27" t="s">
        <v>29</v>
      </c>
      <c r="U38" s="5"/>
      <c r="V38" s="5"/>
      <c r="W38" s="5"/>
      <c r="X38" s="5"/>
      <c r="Y38" s="5"/>
      <c r="Z38" s="5"/>
      <c r="AA38" s="5"/>
      <c r="AB38" s="5"/>
      <c r="AC38" s="5"/>
      <c r="AD38" s="5"/>
      <c r="AE38" s="5"/>
      <c r="AF38" s="5"/>
      <c r="AG38" s="5"/>
      <c r="AH38" s="5"/>
      <c r="AI38" s="5"/>
      <c r="AJ38" s="5"/>
      <c r="AK38" s="5"/>
      <c r="AL38" s="5"/>
      <c r="AM38" s="5"/>
      <c r="AN38" s="5"/>
      <c r="AO38" s="5"/>
      <c r="AP38" s="5"/>
      <c r="AQ38" s="5"/>
      <c r="AR38" s="5"/>
      <c r="AS38" s="5"/>
      <c r="AT38" s="5"/>
      <c r="AU38" s="5"/>
      <c r="AV38" s="5"/>
    </row>
    <row r="39" ht="80.15" customHeight="1" spans="2:48">
      <c r="B39" s="17">
        <v>34</v>
      </c>
      <c r="C39" s="18" t="s">
        <v>153</v>
      </c>
      <c r="D39" s="18" t="s">
        <v>149</v>
      </c>
      <c r="E39" s="19"/>
      <c r="F39" s="18" t="s">
        <v>22</v>
      </c>
      <c r="G39" s="20" t="s">
        <v>23</v>
      </c>
      <c r="H39" s="21" t="s">
        <v>135</v>
      </c>
      <c r="I39" s="22" t="s">
        <v>154</v>
      </c>
      <c r="J39" s="18" t="s">
        <v>83</v>
      </c>
      <c r="K39" s="23">
        <f t="shared" si="1"/>
        <v>2496</v>
      </c>
      <c r="L39" s="24">
        <v>3200</v>
      </c>
      <c r="M39" s="25">
        <v>0.22</v>
      </c>
      <c r="N39" s="26" t="s">
        <v>27</v>
      </c>
      <c r="O39" s="28" t="s">
        <v>155</v>
      </c>
      <c r="P39" s="27" t="s">
        <v>29</v>
      </c>
      <c r="U39" s="5"/>
      <c r="V39" s="5"/>
      <c r="W39" s="5"/>
      <c r="X39" s="5"/>
      <c r="Y39" s="5"/>
      <c r="Z39" s="5"/>
      <c r="AA39" s="5"/>
      <c r="AB39" s="5"/>
      <c r="AC39" s="5"/>
      <c r="AD39" s="5"/>
      <c r="AE39" s="5"/>
      <c r="AF39" s="5"/>
      <c r="AG39" s="5"/>
      <c r="AH39" s="5"/>
      <c r="AI39" s="5"/>
      <c r="AJ39" s="5"/>
      <c r="AK39" s="5"/>
      <c r="AL39" s="5"/>
      <c r="AM39" s="5"/>
      <c r="AN39" s="5"/>
      <c r="AO39" s="5"/>
      <c r="AP39" s="5"/>
      <c r="AQ39" s="5"/>
      <c r="AR39" s="5"/>
      <c r="AS39" s="5"/>
      <c r="AT39" s="5"/>
      <c r="AU39" s="5"/>
      <c r="AV39" s="5"/>
    </row>
    <row r="40" ht="80.15" customHeight="1" spans="2:48">
      <c r="B40" s="17">
        <v>35</v>
      </c>
      <c r="C40" s="18" t="s">
        <v>156</v>
      </c>
      <c r="D40" s="18" t="s">
        <v>149</v>
      </c>
      <c r="E40" s="19"/>
      <c r="F40" s="18" t="s">
        <v>22</v>
      </c>
      <c r="G40" s="20" t="s">
        <v>23</v>
      </c>
      <c r="H40" s="21" t="s">
        <v>135</v>
      </c>
      <c r="I40" s="22" t="s">
        <v>157</v>
      </c>
      <c r="J40" s="18" t="s">
        <v>158</v>
      </c>
      <c r="K40" s="23">
        <f t="shared" si="1"/>
        <v>1794</v>
      </c>
      <c r="L40" s="24">
        <v>2300</v>
      </c>
      <c r="M40" s="25">
        <v>0.22</v>
      </c>
      <c r="N40" s="26" t="s">
        <v>27</v>
      </c>
      <c r="O40" s="28" t="s">
        <v>159</v>
      </c>
      <c r="P40" s="27" t="s">
        <v>29</v>
      </c>
      <c r="U40" s="5"/>
      <c r="V40" s="5"/>
      <c r="W40" s="5"/>
      <c r="X40" s="5"/>
      <c r="Y40" s="5"/>
      <c r="Z40" s="5"/>
      <c r="AA40" s="5"/>
      <c r="AB40" s="5"/>
      <c r="AC40" s="5"/>
      <c r="AD40" s="5"/>
      <c r="AE40" s="5"/>
      <c r="AF40" s="5"/>
      <c r="AG40" s="5"/>
      <c r="AH40" s="5"/>
      <c r="AI40" s="5"/>
      <c r="AJ40" s="5"/>
      <c r="AK40" s="5"/>
      <c r="AL40" s="5"/>
      <c r="AM40" s="5"/>
      <c r="AN40" s="5"/>
      <c r="AO40" s="5"/>
      <c r="AP40" s="5"/>
      <c r="AQ40" s="5"/>
      <c r="AR40" s="5"/>
      <c r="AS40" s="5"/>
      <c r="AT40" s="5"/>
      <c r="AU40" s="5"/>
      <c r="AV40" s="5"/>
    </row>
    <row r="41" ht="50.15" customHeight="1" spans="2:48">
      <c r="B41" s="29" t="s">
        <v>160</v>
      </c>
      <c r="C41" s="30"/>
      <c r="D41" s="30"/>
      <c r="E41" s="30"/>
      <c r="F41" s="30"/>
      <c r="G41" s="30"/>
      <c r="H41" s="30"/>
      <c r="I41" s="30"/>
      <c r="J41" s="30"/>
      <c r="K41" s="30"/>
      <c r="L41" s="30"/>
      <c r="M41" s="31"/>
      <c r="N41" s="26" t="s">
        <v>27</v>
      </c>
      <c r="O41" s="28" t="s">
        <v>161</v>
      </c>
      <c r="P41" s="27" t="s">
        <v>29</v>
      </c>
      <c r="U41" s="5"/>
      <c r="V41" s="5"/>
      <c r="W41" s="5"/>
      <c r="X41" s="5"/>
      <c r="Y41" s="5"/>
      <c r="Z41" s="5"/>
      <c r="AA41" s="5"/>
      <c r="AB41" s="5"/>
      <c r="AC41" s="5"/>
      <c r="AD41" s="5"/>
      <c r="AE41" s="5"/>
      <c r="AF41" s="5"/>
      <c r="AG41" s="5"/>
      <c r="AH41" s="5"/>
      <c r="AI41" s="5"/>
      <c r="AJ41" s="5"/>
      <c r="AK41" s="5"/>
      <c r="AL41" s="5"/>
      <c r="AM41" s="5"/>
      <c r="AN41" s="5"/>
      <c r="AO41" s="5"/>
      <c r="AP41" s="5"/>
      <c r="AQ41" s="5"/>
      <c r="AR41" s="5"/>
      <c r="AS41" s="5"/>
      <c r="AT41" s="5"/>
      <c r="AU41" s="5"/>
      <c r="AV41" s="5"/>
    </row>
    <row r="42" ht="80.15" customHeight="1" spans="2:48">
      <c r="B42" s="17">
        <v>36</v>
      </c>
      <c r="C42" s="18" t="s">
        <v>162</v>
      </c>
      <c r="D42" s="18" t="s">
        <v>163</v>
      </c>
      <c r="E42" s="18"/>
      <c r="F42" s="18" t="s">
        <v>22</v>
      </c>
      <c r="G42" s="20" t="s">
        <v>23</v>
      </c>
      <c r="H42" s="32" t="s">
        <v>164</v>
      </c>
      <c r="I42" s="18" t="s">
        <v>165</v>
      </c>
      <c r="J42" s="18" t="s">
        <v>166</v>
      </c>
      <c r="K42" s="23">
        <f t="shared" ref="K42:K47" si="2">L42*(1-0.22)</f>
        <v>6864</v>
      </c>
      <c r="L42" s="24">
        <v>8800</v>
      </c>
      <c r="M42" s="25">
        <v>0.22</v>
      </c>
      <c r="N42" s="26" t="s">
        <v>27</v>
      </c>
      <c r="O42" s="28" t="s">
        <v>167</v>
      </c>
      <c r="P42" s="27" t="s">
        <v>29</v>
      </c>
      <c r="U42" s="5"/>
      <c r="V42" s="5"/>
      <c r="W42" s="5"/>
      <c r="X42" s="5"/>
      <c r="Y42" s="5"/>
      <c r="Z42" s="5"/>
      <c r="AA42" s="5"/>
      <c r="AB42" s="5"/>
      <c r="AC42" s="5"/>
      <c r="AD42" s="5"/>
      <c r="AE42" s="5"/>
      <c r="AF42" s="5"/>
      <c r="AG42" s="5"/>
      <c r="AH42" s="5"/>
      <c r="AI42" s="5"/>
      <c r="AJ42" s="5"/>
      <c r="AK42" s="5"/>
      <c r="AL42" s="5"/>
      <c r="AM42" s="5"/>
      <c r="AN42" s="5"/>
      <c r="AO42" s="5"/>
      <c r="AP42" s="5"/>
      <c r="AQ42" s="5"/>
      <c r="AR42" s="5"/>
      <c r="AS42" s="5"/>
      <c r="AT42" s="5"/>
      <c r="AU42" s="5"/>
      <c r="AV42" s="5"/>
    </row>
    <row r="43" ht="80.15" customHeight="1" spans="2:48">
      <c r="B43" s="17">
        <v>37</v>
      </c>
      <c r="C43" s="18" t="s">
        <v>168</v>
      </c>
      <c r="D43" s="18" t="s">
        <v>163</v>
      </c>
      <c r="E43" s="19"/>
      <c r="F43" s="18" t="s">
        <v>22</v>
      </c>
      <c r="G43" s="20" t="s">
        <v>23</v>
      </c>
      <c r="H43" s="32" t="s">
        <v>164</v>
      </c>
      <c r="I43" s="18" t="s">
        <v>169</v>
      </c>
      <c r="J43" s="18" t="s">
        <v>170</v>
      </c>
      <c r="K43" s="23">
        <f t="shared" si="2"/>
        <v>3900</v>
      </c>
      <c r="L43" s="24">
        <v>5000</v>
      </c>
      <c r="M43" s="25">
        <v>0.22</v>
      </c>
      <c r="N43" s="26" t="s">
        <v>27</v>
      </c>
      <c r="O43" s="28" t="s">
        <v>171</v>
      </c>
      <c r="P43" s="27" t="s">
        <v>29</v>
      </c>
      <c r="U43" s="5"/>
      <c r="V43" s="5"/>
      <c r="W43" s="5"/>
      <c r="X43" s="5"/>
      <c r="Y43" s="5"/>
      <c r="Z43" s="5"/>
      <c r="AA43" s="5"/>
      <c r="AB43" s="5"/>
      <c r="AC43" s="5"/>
      <c r="AD43" s="5"/>
      <c r="AE43" s="5"/>
      <c r="AF43" s="5"/>
      <c r="AG43" s="5"/>
      <c r="AH43" s="5"/>
      <c r="AI43" s="5"/>
      <c r="AJ43" s="5"/>
      <c r="AK43" s="5"/>
      <c r="AL43" s="5"/>
      <c r="AM43" s="5"/>
      <c r="AN43" s="5"/>
      <c r="AO43" s="5"/>
      <c r="AP43" s="5"/>
      <c r="AQ43" s="5"/>
      <c r="AR43" s="5"/>
      <c r="AS43" s="5"/>
      <c r="AT43" s="5"/>
      <c r="AU43" s="5"/>
      <c r="AV43" s="5"/>
    </row>
    <row r="44" ht="80.15" customHeight="1" spans="2:48">
      <c r="B44" s="17">
        <v>38</v>
      </c>
      <c r="C44" s="18" t="s">
        <v>172</v>
      </c>
      <c r="D44" s="18" t="s">
        <v>163</v>
      </c>
      <c r="E44" s="19"/>
      <c r="F44" s="18" t="s">
        <v>22</v>
      </c>
      <c r="G44" s="20" t="s">
        <v>23</v>
      </c>
      <c r="H44" s="32" t="s">
        <v>164</v>
      </c>
      <c r="I44" s="18" t="s">
        <v>173</v>
      </c>
      <c r="J44" s="18" t="s">
        <v>174</v>
      </c>
      <c r="K44" s="23">
        <f t="shared" si="2"/>
        <v>6318</v>
      </c>
      <c r="L44" s="24">
        <v>8100</v>
      </c>
      <c r="M44" s="25">
        <v>0.22</v>
      </c>
      <c r="N44" s="26" t="s">
        <v>27</v>
      </c>
      <c r="O44" s="28" t="s">
        <v>175</v>
      </c>
      <c r="P44" s="27" t="s">
        <v>29</v>
      </c>
      <c r="U44" s="5"/>
      <c r="V44" s="5"/>
      <c r="W44" s="5"/>
      <c r="X44" s="5"/>
      <c r="Y44" s="5"/>
      <c r="Z44" s="5"/>
      <c r="AA44" s="5"/>
      <c r="AB44" s="5"/>
      <c r="AC44" s="5"/>
      <c r="AD44" s="5"/>
      <c r="AE44" s="5"/>
      <c r="AF44" s="5"/>
      <c r="AG44" s="5"/>
      <c r="AH44" s="5"/>
      <c r="AI44" s="5"/>
      <c r="AJ44" s="5"/>
      <c r="AK44" s="5"/>
      <c r="AL44" s="5"/>
      <c r="AM44" s="5"/>
      <c r="AN44" s="5"/>
      <c r="AO44" s="5"/>
      <c r="AP44" s="5"/>
      <c r="AQ44" s="5"/>
      <c r="AR44" s="5"/>
      <c r="AS44" s="5"/>
      <c r="AT44" s="5"/>
      <c r="AU44" s="5"/>
      <c r="AV44" s="5"/>
    </row>
    <row r="45" ht="80.15" customHeight="1" spans="2:48">
      <c r="B45" s="17">
        <v>39</v>
      </c>
      <c r="C45" s="18" t="s">
        <v>176</v>
      </c>
      <c r="D45" s="18" t="s">
        <v>163</v>
      </c>
      <c r="E45" s="19"/>
      <c r="F45" s="18" t="s">
        <v>22</v>
      </c>
      <c r="G45" s="20" t="s">
        <v>23</v>
      </c>
      <c r="H45" s="32" t="s">
        <v>164</v>
      </c>
      <c r="I45" s="18" t="s">
        <v>165</v>
      </c>
      <c r="J45" s="18" t="s">
        <v>26</v>
      </c>
      <c r="K45" s="23">
        <f t="shared" si="2"/>
        <v>6630</v>
      </c>
      <c r="L45" s="24">
        <v>8500</v>
      </c>
      <c r="M45" s="25">
        <v>0.22</v>
      </c>
      <c r="N45" s="26" t="s">
        <v>27</v>
      </c>
      <c r="O45" s="28" t="s">
        <v>177</v>
      </c>
      <c r="P45" s="27" t="s">
        <v>29</v>
      </c>
      <c r="U45" s="5"/>
      <c r="V45" s="5"/>
      <c r="W45" s="5"/>
      <c r="X45" s="5"/>
      <c r="Y45" s="5"/>
      <c r="Z45" s="5"/>
      <c r="AA45" s="5"/>
      <c r="AB45" s="5"/>
      <c r="AC45" s="5"/>
      <c r="AD45" s="5"/>
      <c r="AE45" s="5"/>
      <c r="AF45" s="5"/>
      <c r="AG45" s="5"/>
      <c r="AH45" s="5"/>
      <c r="AI45" s="5"/>
      <c r="AJ45" s="5"/>
      <c r="AK45" s="5"/>
      <c r="AL45" s="5"/>
      <c r="AM45" s="5"/>
      <c r="AN45" s="5"/>
      <c r="AO45" s="5"/>
      <c r="AP45" s="5"/>
      <c r="AQ45" s="5"/>
      <c r="AR45" s="5"/>
      <c r="AS45" s="5"/>
      <c r="AT45" s="5"/>
      <c r="AU45" s="5"/>
      <c r="AV45" s="5"/>
    </row>
    <row r="46" ht="80.15" customHeight="1" spans="2:48">
      <c r="B46" s="17">
        <v>40</v>
      </c>
      <c r="C46" s="18" t="s">
        <v>178</v>
      </c>
      <c r="D46" s="18" t="s">
        <v>163</v>
      </c>
      <c r="E46" s="19"/>
      <c r="F46" s="18" t="s">
        <v>22</v>
      </c>
      <c r="G46" s="20" t="s">
        <v>23</v>
      </c>
      <c r="H46" s="32" t="s">
        <v>164</v>
      </c>
      <c r="I46" s="18" t="s">
        <v>179</v>
      </c>
      <c r="J46" s="18" t="s">
        <v>180</v>
      </c>
      <c r="K46" s="23">
        <f t="shared" si="2"/>
        <v>7059</v>
      </c>
      <c r="L46" s="24">
        <v>9050</v>
      </c>
      <c r="M46" s="25">
        <v>0.22</v>
      </c>
      <c r="N46" s="26" t="s">
        <v>27</v>
      </c>
      <c r="O46" s="28" t="s">
        <v>181</v>
      </c>
      <c r="P46" s="27" t="s">
        <v>29</v>
      </c>
      <c r="U46" s="5"/>
      <c r="V46" s="5"/>
      <c r="W46" s="5"/>
      <c r="X46" s="5"/>
      <c r="Y46" s="5"/>
      <c r="Z46" s="5"/>
      <c r="AA46" s="5"/>
      <c r="AB46" s="5"/>
      <c r="AC46" s="5"/>
      <c r="AD46" s="5"/>
      <c r="AE46" s="5"/>
      <c r="AF46" s="5"/>
      <c r="AG46" s="5"/>
      <c r="AH46" s="5"/>
      <c r="AI46" s="5"/>
      <c r="AJ46" s="5"/>
      <c r="AK46" s="5"/>
      <c r="AL46" s="5"/>
      <c r="AM46" s="5"/>
      <c r="AN46" s="5"/>
      <c r="AO46" s="5"/>
      <c r="AP46" s="5"/>
      <c r="AQ46" s="5"/>
      <c r="AR46" s="5"/>
      <c r="AS46" s="5"/>
      <c r="AT46" s="5"/>
      <c r="AU46" s="5"/>
      <c r="AV46" s="5"/>
    </row>
    <row r="47" ht="80.15" customHeight="1" spans="2:48">
      <c r="B47" s="17">
        <v>41</v>
      </c>
      <c r="C47" s="18" t="s">
        <v>182</v>
      </c>
      <c r="D47" s="18" t="s">
        <v>163</v>
      </c>
      <c r="E47" s="19"/>
      <c r="F47" s="18" t="s">
        <v>22</v>
      </c>
      <c r="G47" s="20" t="s">
        <v>23</v>
      </c>
      <c r="H47" s="32" t="s">
        <v>164</v>
      </c>
      <c r="I47" s="18" t="s">
        <v>183</v>
      </c>
      <c r="J47" s="18" t="s">
        <v>184</v>
      </c>
      <c r="K47" s="23">
        <f t="shared" si="2"/>
        <v>6708</v>
      </c>
      <c r="L47" s="24">
        <v>8600</v>
      </c>
      <c r="M47" s="25">
        <v>0.22</v>
      </c>
      <c r="N47" s="26" t="s">
        <v>27</v>
      </c>
      <c r="O47" s="28" t="s">
        <v>185</v>
      </c>
      <c r="P47" s="27" t="s">
        <v>29</v>
      </c>
      <c r="U47" s="5"/>
      <c r="V47" s="5"/>
      <c r="W47" s="5"/>
      <c r="X47" s="5"/>
      <c r="Y47" s="5"/>
      <c r="Z47" s="5"/>
      <c r="AA47" s="5"/>
      <c r="AB47" s="5"/>
      <c r="AC47" s="5"/>
      <c r="AD47" s="5"/>
      <c r="AE47" s="5"/>
      <c r="AF47" s="5"/>
      <c r="AG47" s="5"/>
      <c r="AH47" s="5"/>
      <c r="AI47" s="5"/>
      <c r="AJ47" s="5"/>
      <c r="AK47" s="5"/>
      <c r="AL47" s="5"/>
      <c r="AM47" s="5"/>
      <c r="AN47" s="5"/>
      <c r="AO47" s="5"/>
      <c r="AP47" s="5"/>
      <c r="AQ47" s="5"/>
      <c r="AR47" s="5"/>
      <c r="AS47" s="5"/>
      <c r="AT47" s="5"/>
      <c r="AU47" s="5"/>
      <c r="AV47" s="5"/>
    </row>
    <row r="48" ht="50.15" customHeight="1" spans="2:48">
      <c r="B48" s="33" t="s">
        <v>186</v>
      </c>
      <c r="C48" s="34"/>
      <c r="D48" s="34"/>
      <c r="E48" s="34"/>
      <c r="F48" s="34"/>
      <c r="G48" s="34"/>
      <c r="H48" s="34"/>
      <c r="I48" s="34"/>
      <c r="J48" s="34"/>
      <c r="K48" s="34"/>
      <c r="L48" s="34"/>
      <c r="M48" s="35"/>
      <c r="N48" s="26" t="s">
        <v>27</v>
      </c>
      <c r="O48" s="28" t="s">
        <v>187</v>
      </c>
      <c r="P48" s="27" t="s">
        <v>29</v>
      </c>
      <c r="U48" s="5"/>
      <c r="V48" s="5"/>
      <c r="W48" s="5"/>
      <c r="X48" s="5"/>
      <c r="Y48" s="5"/>
      <c r="Z48" s="5"/>
      <c r="AA48" s="5"/>
      <c r="AB48" s="5"/>
      <c r="AC48" s="5"/>
      <c r="AD48" s="5"/>
      <c r="AE48" s="5"/>
      <c r="AF48" s="5"/>
      <c r="AG48" s="5"/>
      <c r="AH48" s="5"/>
      <c r="AI48" s="5"/>
      <c r="AJ48" s="5"/>
      <c r="AK48" s="5"/>
      <c r="AL48" s="5"/>
      <c r="AM48" s="5"/>
      <c r="AN48" s="5"/>
      <c r="AO48" s="5"/>
      <c r="AP48" s="5"/>
      <c r="AQ48" s="5"/>
      <c r="AR48" s="5"/>
      <c r="AS48" s="5"/>
      <c r="AT48" s="5"/>
      <c r="AU48" s="5"/>
      <c r="AV48" s="5"/>
    </row>
    <row r="49" ht="80.15" customHeight="1" spans="2:48">
      <c r="B49" s="17">
        <v>42</v>
      </c>
      <c r="C49" s="18" t="s">
        <v>188</v>
      </c>
      <c r="D49" s="18" t="s">
        <v>186</v>
      </c>
      <c r="E49" s="19"/>
      <c r="F49" s="18" t="s">
        <v>22</v>
      </c>
      <c r="G49" s="18" t="s">
        <v>189</v>
      </c>
      <c r="H49" s="32" t="s">
        <v>190</v>
      </c>
      <c r="I49" s="18" t="s">
        <v>191</v>
      </c>
      <c r="J49" s="36" t="s">
        <v>184</v>
      </c>
      <c r="K49" s="23">
        <f t="shared" ref="K49:K54" si="3">L49*(1-0.22)</f>
        <v>5382</v>
      </c>
      <c r="L49" s="24">
        <v>6900</v>
      </c>
      <c r="M49" s="25">
        <v>0.22</v>
      </c>
      <c r="N49" s="26" t="s">
        <v>27</v>
      </c>
      <c r="O49" s="28" t="s">
        <v>192</v>
      </c>
      <c r="P49" s="27" t="s">
        <v>29</v>
      </c>
      <c r="U49" s="5"/>
      <c r="V49" s="5"/>
      <c r="W49" s="5"/>
      <c r="X49" s="5"/>
      <c r="Y49" s="5"/>
      <c r="Z49" s="5"/>
      <c r="AA49" s="5"/>
      <c r="AB49" s="5"/>
      <c r="AC49" s="5"/>
      <c r="AD49" s="5"/>
      <c r="AE49" s="5"/>
      <c r="AF49" s="5"/>
      <c r="AG49" s="5"/>
      <c r="AH49" s="5"/>
      <c r="AI49" s="5"/>
      <c r="AJ49" s="5"/>
      <c r="AK49" s="5"/>
      <c r="AL49" s="5"/>
      <c r="AM49" s="5"/>
      <c r="AN49" s="5"/>
      <c r="AO49" s="5"/>
      <c r="AP49" s="5"/>
      <c r="AQ49" s="5"/>
      <c r="AR49" s="5"/>
      <c r="AS49" s="5"/>
      <c r="AT49" s="5"/>
      <c r="AU49" s="5"/>
      <c r="AV49" s="5"/>
    </row>
    <row r="50" ht="80.15" customHeight="1" spans="2:48">
      <c r="B50" s="17">
        <v>43</v>
      </c>
      <c r="C50" s="18" t="s">
        <v>193</v>
      </c>
      <c r="D50" s="18" t="s">
        <v>186</v>
      </c>
      <c r="E50" s="18"/>
      <c r="F50" s="18" t="s">
        <v>22</v>
      </c>
      <c r="G50" s="18" t="s">
        <v>189</v>
      </c>
      <c r="H50" s="32" t="s">
        <v>190</v>
      </c>
      <c r="I50" s="18" t="s">
        <v>194</v>
      </c>
      <c r="J50" s="18" t="s">
        <v>42</v>
      </c>
      <c r="K50" s="23">
        <f t="shared" si="3"/>
        <v>3081</v>
      </c>
      <c r="L50" s="24">
        <v>3950</v>
      </c>
      <c r="M50" s="25">
        <v>0.22</v>
      </c>
      <c r="N50" s="26" t="s">
        <v>27</v>
      </c>
      <c r="O50" s="28" t="s">
        <v>195</v>
      </c>
      <c r="P50" s="27" t="s">
        <v>29</v>
      </c>
      <c r="U50" s="5"/>
      <c r="V50" s="5"/>
      <c r="W50" s="5"/>
      <c r="X50" s="5"/>
      <c r="Y50" s="5"/>
      <c r="Z50" s="5"/>
      <c r="AA50" s="5"/>
      <c r="AB50" s="5"/>
      <c r="AC50" s="5"/>
      <c r="AD50" s="5"/>
      <c r="AE50" s="5"/>
      <c r="AF50" s="5"/>
      <c r="AG50" s="5"/>
      <c r="AH50" s="5"/>
      <c r="AI50" s="5"/>
      <c r="AJ50" s="5"/>
      <c r="AK50" s="5"/>
      <c r="AL50" s="5"/>
      <c r="AM50" s="5"/>
      <c r="AN50" s="5"/>
      <c r="AO50" s="5"/>
      <c r="AP50" s="5"/>
      <c r="AQ50" s="5"/>
      <c r="AR50" s="5"/>
      <c r="AS50" s="5"/>
      <c r="AT50" s="5"/>
      <c r="AU50" s="5"/>
      <c r="AV50" s="5"/>
    </row>
    <row r="51" ht="80.15" customHeight="1" spans="2:48">
      <c r="B51" s="17">
        <v>44</v>
      </c>
      <c r="C51" s="18" t="s">
        <v>196</v>
      </c>
      <c r="D51" s="18" t="s">
        <v>186</v>
      </c>
      <c r="E51" s="19"/>
      <c r="F51" s="18" t="s">
        <v>22</v>
      </c>
      <c r="G51" s="18" t="s">
        <v>189</v>
      </c>
      <c r="H51" s="32" t="s">
        <v>190</v>
      </c>
      <c r="I51" s="18" t="s">
        <v>197</v>
      </c>
      <c r="J51" s="18" t="s">
        <v>42</v>
      </c>
      <c r="K51" s="23">
        <f t="shared" si="3"/>
        <v>6630</v>
      </c>
      <c r="L51" s="24">
        <v>8500</v>
      </c>
      <c r="M51" s="25">
        <v>0.22</v>
      </c>
      <c r="N51" s="26" t="s">
        <v>27</v>
      </c>
      <c r="O51" s="28" t="s">
        <v>198</v>
      </c>
      <c r="P51" s="27" t="s">
        <v>29</v>
      </c>
      <c r="U51" s="5"/>
      <c r="V51" s="5"/>
      <c r="W51" s="5"/>
      <c r="X51" s="5"/>
      <c r="Y51" s="5"/>
      <c r="Z51" s="5"/>
      <c r="AA51" s="5"/>
      <c r="AB51" s="5"/>
      <c r="AC51" s="5"/>
      <c r="AD51" s="5"/>
      <c r="AE51" s="5"/>
      <c r="AF51" s="5"/>
      <c r="AG51" s="5"/>
      <c r="AH51" s="5"/>
      <c r="AI51" s="5"/>
      <c r="AJ51" s="5"/>
      <c r="AK51" s="5"/>
      <c r="AL51" s="5"/>
      <c r="AM51" s="5"/>
      <c r="AN51" s="5"/>
      <c r="AO51" s="5"/>
      <c r="AP51" s="5"/>
      <c r="AQ51" s="5"/>
      <c r="AR51" s="5"/>
      <c r="AS51" s="5"/>
      <c r="AT51" s="5"/>
      <c r="AU51" s="5"/>
      <c r="AV51" s="5"/>
    </row>
    <row r="52" ht="80.15" customHeight="1" spans="2:48">
      <c r="B52" s="17">
        <v>45</v>
      </c>
      <c r="C52" s="18" t="s">
        <v>199</v>
      </c>
      <c r="D52" s="18" t="s">
        <v>186</v>
      </c>
      <c r="E52" s="19"/>
      <c r="F52" s="18" t="s">
        <v>22</v>
      </c>
      <c r="G52" s="18" t="s">
        <v>189</v>
      </c>
      <c r="H52" s="32" t="s">
        <v>190</v>
      </c>
      <c r="I52" s="18" t="s">
        <v>200</v>
      </c>
      <c r="J52" s="36" t="s">
        <v>184</v>
      </c>
      <c r="K52" s="23">
        <f t="shared" si="3"/>
        <v>5070</v>
      </c>
      <c r="L52" s="24">
        <v>6500</v>
      </c>
      <c r="M52" s="25">
        <v>0.22</v>
      </c>
      <c r="N52" s="26" t="s">
        <v>27</v>
      </c>
      <c r="O52" s="28" t="s">
        <v>201</v>
      </c>
      <c r="P52" s="27" t="s">
        <v>29</v>
      </c>
      <c r="U52" s="5"/>
      <c r="V52" s="5"/>
      <c r="W52" s="5"/>
      <c r="X52" s="5"/>
      <c r="Y52" s="5"/>
      <c r="Z52" s="5"/>
      <c r="AA52" s="5"/>
      <c r="AB52" s="5"/>
      <c r="AC52" s="5"/>
      <c r="AD52" s="5"/>
      <c r="AE52" s="5"/>
      <c r="AF52" s="5"/>
      <c r="AG52" s="5"/>
      <c r="AH52" s="5"/>
      <c r="AI52" s="5"/>
      <c r="AJ52" s="5"/>
      <c r="AK52" s="5"/>
      <c r="AL52" s="5"/>
      <c r="AM52" s="5"/>
      <c r="AN52" s="5"/>
      <c r="AO52" s="5"/>
      <c r="AP52" s="5"/>
      <c r="AQ52" s="5"/>
      <c r="AR52" s="5"/>
      <c r="AS52" s="5"/>
      <c r="AT52" s="5"/>
      <c r="AU52" s="5"/>
      <c r="AV52" s="5"/>
    </row>
    <row r="53" ht="80.15" customHeight="1" spans="2:48">
      <c r="B53" s="17">
        <v>46</v>
      </c>
      <c r="C53" s="18" t="s">
        <v>202</v>
      </c>
      <c r="D53" s="18" t="s">
        <v>186</v>
      </c>
      <c r="E53" s="19"/>
      <c r="F53" s="18" t="s">
        <v>22</v>
      </c>
      <c r="G53" s="18" t="s">
        <v>189</v>
      </c>
      <c r="H53" s="32" t="s">
        <v>190</v>
      </c>
      <c r="I53" s="18" t="s">
        <v>203</v>
      </c>
      <c r="J53" s="36" t="s">
        <v>184</v>
      </c>
      <c r="K53" s="23">
        <f t="shared" si="3"/>
        <v>2886</v>
      </c>
      <c r="L53" s="24">
        <v>3700</v>
      </c>
      <c r="M53" s="25">
        <v>0.22</v>
      </c>
      <c r="N53" s="26" t="s">
        <v>27</v>
      </c>
      <c r="O53" s="28" t="s">
        <v>204</v>
      </c>
      <c r="P53" s="27" t="s">
        <v>29</v>
      </c>
      <c r="U53" s="5"/>
      <c r="V53" s="5"/>
      <c r="W53" s="5"/>
      <c r="X53" s="5"/>
      <c r="Y53" s="5"/>
      <c r="Z53" s="5"/>
      <c r="AA53" s="5"/>
      <c r="AB53" s="5"/>
      <c r="AC53" s="5"/>
      <c r="AD53" s="5"/>
      <c r="AE53" s="5"/>
      <c r="AF53" s="5"/>
      <c r="AG53" s="5"/>
      <c r="AH53" s="5"/>
      <c r="AI53" s="5"/>
      <c r="AJ53" s="5"/>
      <c r="AK53" s="5"/>
      <c r="AL53" s="5"/>
      <c r="AM53" s="5"/>
      <c r="AN53" s="5"/>
      <c r="AO53" s="5"/>
      <c r="AP53" s="5"/>
      <c r="AQ53" s="5"/>
      <c r="AR53" s="5"/>
      <c r="AS53" s="5"/>
      <c r="AT53" s="5"/>
      <c r="AU53" s="5"/>
      <c r="AV53" s="5"/>
    </row>
    <row r="54" ht="80.15" customHeight="1" spans="2:48">
      <c r="B54" s="17">
        <v>47</v>
      </c>
      <c r="C54" s="18" t="s">
        <v>205</v>
      </c>
      <c r="D54" s="18" t="s">
        <v>186</v>
      </c>
      <c r="E54" s="19"/>
      <c r="F54" s="18" t="s">
        <v>22</v>
      </c>
      <c r="G54" s="18" t="s">
        <v>189</v>
      </c>
      <c r="H54" s="32" t="s">
        <v>190</v>
      </c>
      <c r="I54" s="18" t="s">
        <v>206</v>
      </c>
      <c r="J54" s="37" t="s">
        <v>184</v>
      </c>
      <c r="K54" s="23">
        <f t="shared" si="3"/>
        <v>5226</v>
      </c>
      <c r="L54" s="24">
        <v>6700</v>
      </c>
      <c r="M54" s="25">
        <v>0.22</v>
      </c>
      <c r="N54" s="26" t="s">
        <v>27</v>
      </c>
      <c r="O54" s="28" t="s">
        <v>207</v>
      </c>
      <c r="P54" s="27" t="s">
        <v>29</v>
      </c>
      <c r="U54" s="5"/>
      <c r="V54" s="5"/>
      <c r="W54" s="5"/>
      <c r="X54" s="5"/>
      <c r="Y54" s="5"/>
      <c r="Z54" s="5"/>
      <c r="AA54" s="5"/>
      <c r="AB54" s="5"/>
      <c r="AC54" s="5"/>
      <c r="AD54" s="5"/>
      <c r="AE54" s="5"/>
      <c r="AF54" s="5"/>
      <c r="AG54" s="5"/>
      <c r="AH54" s="5"/>
      <c r="AI54" s="5"/>
      <c r="AJ54" s="5"/>
      <c r="AK54" s="5"/>
      <c r="AL54" s="5"/>
      <c r="AM54" s="5"/>
      <c r="AN54" s="5"/>
      <c r="AO54" s="5"/>
      <c r="AP54" s="5"/>
      <c r="AQ54" s="5"/>
      <c r="AR54" s="5"/>
      <c r="AS54" s="5"/>
      <c r="AT54" s="5"/>
      <c r="AU54" s="5"/>
      <c r="AV54" s="5"/>
    </row>
    <row r="55" ht="50.15" customHeight="1" spans="2:48">
      <c r="B55" s="29" t="s">
        <v>208</v>
      </c>
      <c r="C55" s="30"/>
      <c r="D55" s="30"/>
      <c r="E55" s="30"/>
      <c r="F55" s="30"/>
      <c r="G55" s="30"/>
      <c r="H55" s="30"/>
      <c r="I55" s="30"/>
      <c r="J55" s="30"/>
      <c r="K55" s="30"/>
      <c r="L55" s="30"/>
      <c r="M55" s="31"/>
      <c r="N55" s="26" t="s">
        <v>27</v>
      </c>
      <c r="O55" s="28" t="s">
        <v>209</v>
      </c>
      <c r="P55" s="27" t="s">
        <v>29</v>
      </c>
      <c r="U55" s="5"/>
      <c r="V55" s="5"/>
      <c r="W55" s="5"/>
      <c r="X55" s="5"/>
      <c r="Y55" s="5"/>
      <c r="Z55" s="5"/>
      <c r="AA55" s="5"/>
      <c r="AB55" s="5"/>
      <c r="AC55" s="5"/>
      <c r="AD55" s="5"/>
      <c r="AE55" s="5"/>
      <c r="AF55" s="5"/>
      <c r="AG55" s="5"/>
      <c r="AH55" s="5"/>
      <c r="AI55" s="5"/>
      <c r="AJ55" s="5"/>
      <c r="AK55" s="5"/>
      <c r="AL55" s="5"/>
      <c r="AM55" s="5"/>
      <c r="AN55" s="5"/>
      <c r="AO55" s="5"/>
      <c r="AP55" s="5"/>
      <c r="AQ55" s="5"/>
      <c r="AR55" s="5"/>
      <c r="AS55" s="5"/>
      <c r="AT55" s="5"/>
      <c r="AU55" s="5"/>
      <c r="AV55" s="5"/>
    </row>
    <row r="56" ht="80.15" customHeight="1" spans="2:48">
      <c r="B56" s="17">
        <v>48</v>
      </c>
      <c r="C56" s="18" t="s">
        <v>210</v>
      </c>
      <c r="D56" s="18" t="s">
        <v>208</v>
      </c>
      <c r="E56" s="19"/>
      <c r="F56" s="18" t="s">
        <v>22</v>
      </c>
      <c r="G56" s="18" t="s">
        <v>211</v>
      </c>
      <c r="H56" s="32" t="s">
        <v>164</v>
      </c>
      <c r="I56" s="18" t="s">
        <v>212</v>
      </c>
      <c r="J56" s="36" t="s">
        <v>184</v>
      </c>
      <c r="K56" s="23">
        <f>L56*(1-0.22)</f>
        <v>9750</v>
      </c>
      <c r="L56" s="24">
        <v>12500</v>
      </c>
      <c r="M56" s="25">
        <v>0.22</v>
      </c>
      <c r="N56" s="26" t="s">
        <v>27</v>
      </c>
      <c r="O56" s="28" t="s">
        <v>213</v>
      </c>
      <c r="P56" s="27" t="s">
        <v>29</v>
      </c>
      <c r="U56" s="5"/>
      <c r="V56" s="5"/>
      <c r="W56" s="5"/>
      <c r="X56" s="5"/>
      <c r="Y56" s="5"/>
      <c r="Z56" s="5"/>
      <c r="AA56" s="5"/>
      <c r="AB56" s="5"/>
      <c r="AC56" s="5"/>
      <c r="AD56" s="5"/>
      <c r="AE56" s="5"/>
      <c r="AF56" s="5"/>
      <c r="AG56" s="5"/>
      <c r="AH56" s="5"/>
      <c r="AI56" s="5"/>
      <c r="AJ56" s="5"/>
      <c r="AK56" s="5"/>
      <c r="AL56" s="5"/>
      <c r="AM56" s="5"/>
      <c r="AN56" s="5"/>
      <c r="AO56" s="5"/>
      <c r="AP56" s="5"/>
      <c r="AQ56" s="5"/>
      <c r="AR56" s="5"/>
      <c r="AS56" s="5"/>
      <c r="AT56" s="5"/>
      <c r="AU56" s="5"/>
      <c r="AV56" s="5"/>
    </row>
    <row r="57" ht="80.15" customHeight="1" spans="2:48">
      <c r="B57" s="17">
        <v>49</v>
      </c>
      <c r="C57" s="18" t="s">
        <v>214</v>
      </c>
      <c r="D57" s="18" t="s">
        <v>208</v>
      </c>
      <c r="E57" s="19"/>
      <c r="F57" s="18" t="s">
        <v>22</v>
      </c>
      <c r="G57" s="18" t="s">
        <v>211</v>
      </c>
      <c r="H57" s="32" t="s">
        <v>164</v>
      </c>
      <c r="I57" s="18" t="s">
        <v>215</v>
      </c>
      <c r="J57" s="18" t="s">
        <v>42</v>
      </c>
      <c r="K57" s="23">
        <f>L57*(1-0.22)</f>
        <v>12012</v>
      </c>
      <c r="L57" s="24">
        <v>15400</v>
      </c>
      <c r="M57" s="25">
        <v>0.22</v>
      </c>
      <c r="N57" s="26" t="s">
        <v>27</v>
      </c>
      <c r="O57" s="28" t="s">
        <v>216</v>
      </c>
      <c r="P57" s="27" t="s">
        <v>29</v>
      </c>
      <c r="U57" s="5"/>
      <c r="V57" s="5"/>
      <c r="W57" s="5"/>
      <c r="X57" s="5"/>
      <c r="Y57" s="5"/>
      <c r="Z57" s="5"/>
      <c r="AA57" s="5"/>
      <c r="AB57" s="5"/>
      <c r="AC57" s="5"/>
      <c r="AD57" s="5"/>
      <c r="AE57" s="5"/>
      <c r="AF57" s="5"/>
      <c r="AG57" s="5"/>
      <c r="AH57" s="5"/>
      <c r="AI57" s="5"/>
      <c r="AJ57" s="5"/>
      <c r="AK57" s="5"/>
      <c r="AL57" s="5"/>
      <c r="AM57" s="5"/>
      <c r="AN57" s="5"/>
      <c r="AO57" s="5"/>
      <c r="AP57" s="5"/>
      <c r="AQ57" s="5"/>
      <c r="AR57" s="5"/>
      <c r="AS57" s="5"/>
      <c r="AT57" s="5"/>
      <c r="AU57" s="5"/>
      <c r="AV57" s="5"/>
    </row>
    <row r="58" ht="80.15" customHeight="1" spans="2:48">
      <c r="B58" s="17">
        <v>50</v>
      </c>
      <c r="C58" s="18" t="s">
        <v>217</v>
      </c>
      <c r="D58" s="18" t="s">
        <v>208</v>
      </c>
      <c r="E58" s="18"/>
      <c r="F58" s="18" t="s">
        <v>22</v>
      </c>
      <c r="G58" s="18" t="s">
        <v>211</v>
      </c>
      <c r="H58" s="32" t="s">
        <v>164</v>
      </c>
      <c r="I58" s="18" t="s">
        <v>218</v>
      </c>
      <c r="J58" s="36" t="s">
        <v>184</v>
      </c>
      <c r="K58" s="23">
        <f>L58*(1-0.22)</f>
        <v>9906</v>
      </c>
      <c r="L58" s="24">
        <v>12700</v>
      </c>
      <c r="M58" s="25">
        <v>0.22</v>
      </c>
      <c r="N58" s="26" t="s">
        <v>27</v>
      </c>
      <c r="O58" s="28" t="s">
        <v>219</v>
      </c>
      <c r="P58" s="27" t="s">
        <v>29</v>
      </c>
      <c r="U58" s="5"/>
      <c r="V58" s="5"/>
      <c r="W58" s="5"/>
      <c r="X58" s="5"/>
      <c r="Y58" s="5"/>
      <c r="Z58" s="5"/>
      <c r="AA58" s="5"/>
      <c r="AB58" s="5"/>
      <c r="AC58" s="5"/>
      <c r="AD58" s="5"/>
      <c r="AE58" s="5"/>
      <c r="AF58" s="5"/>
      <c r="AG58" s="5"/>
      <c r="AH58" s="5"/>
      <c r="AI58" s="5"/>
      <c r="AJ58" s="5"/>
      <c r="AK58" s="5"/>
      <c r="AL58" s="5"/>
      <c r="AM58" s="5"/>
      <c r="AN58" s="5"/>
      <c r="AO58" s="5"/>
      <c r="AP58" s="5"/>
      <c r="AQ58" s="5"/>
      <c r="AR58" s="5"/>
      <c r="AS58" s="5"/>
      <c r="AT58" s="5"/>
      <c r="AU58" s="5"/>
      <c r="AV58" s="5"/>
    </row>
    <row r="59" ht="80.15" customHeight="1" spans="2:48">
      <c r="B59" s="17">
        <v>51</v>
      </c>
      <c r="C59" s="18" t="s">
        <v>220</v>
      </c>
      <c r="D59" s="18" t="s">
        <v>208</v>
      </c>
      <c r="E59" s="19"/>
      <c r="F59" s="18" t="s">
        <v>22</v>
      </c>
      <c r="G59" s="18" t="s">
        <v>211</v>
      </c>
      <c r="H59" s="32" t="s">
        <v>164</v>
      </c>
      <c r="I59" s="18" t="s">
        <v>221</v>
      </c>
      <c r="J59" s="36" t="s">
        <v>184</v>
      </c>
      <c r="K59" s="23">
        <f>L59*(1-0.22)</f>
        <v>6236.1</v>
      </c>
      <c r="L59" s="24">
        <v>7995</v>
      </c>
      <c r="M59" s="25">
        <v>0.22</v>
      </c>
      <c r="N59" s="26" t="s">
        <v>27</v>
      </c>
      <c r="O59" s="28" t="s">
        <v>222</v>
      </c>
      <c r="P59" s="27" t="s">
        <v>29</v>
      </c>
      <c r="U59" s="5"/>
      <c r="V59" s="5"/>
      <c r="W59" s="5"/>
      <c r="X59" s="5"/>
      <c r="Y59" s="5"/>
      <c r="Z59" s="5"/>
      <c r="AA59" s="5"/>
      <c r="AB59" s="5"/>
      <c r="AC59" s="5"/>
      <c r="AD59" s="5"/>
      <c r="AE59" s="5"/>
      <c r="AF59" s="5"/>
      <c r="AG59" s="5"/>
      <c r="AH59" s="5"/>
      <c r="AI59" s="5"/>
      <c r="AJ59" s="5"/>
      <c r="AK59" s="5"/>
      <c r="AL59" s="5"/>
      <c r="AM59" s="5"/>
      <c r="AN59" s="5"/>
      <c r="AO59" s="5"/>
      <c r="AP59" s="5"/>
      <c r="AQ59" s="5"/>
      <c r="AR59" s="5"/>
      <c r="AS59" s="5"/>
      <c r="AT59" s="5"/>
      <c r="AU59" s="5"/>
      <c r="AV59" s="5"/>
    </row>
    <row r="60" ht="50.15" customHeight="1" spans="2:48">
      <c r="B60" s="29" t="s">
        <v>223</v>
      </c>
      <c r="C60" s="30"/>
      <c r="D60" s="30"/>
      <c r="E60" s="30"/>
      <c r="F60" s="30"/>
      <c r="G60" s="30"/>
      <c r="H60" s="30"/>
      <c r="I60" s="30"/>
      <c r="J60" s="30"/>
      <c r="K60" s="30"/>
      <c r="L60" s="30"/>
      <c r="M60" s="31"/>
      <c r="N60" s="26" t="s">
        <v>27</v>
      </c>
      <c r="O60" s="28" t="s">
        <v>224</v>
      </c>
      <c r="P60" s="27" t="s">
        <v>29</v>
      </c>
      <c r="U60" s="5"/>
      <c r="V60" s="5"/>
      <c r="W60" s="5"/>
      <c r="X60" s="5"/>
      <c r="Y60" s="5"/>
      <c r="Z60" s="5"/>
      <c r="AA60" s="5"/>
      <c r="AB60" s="5"/>
      <c r="AC60" s="5"/>
      <c r="AD60" s="5"/>
      <c r="AE60" s="5"/>
      <c r="AF60" s="5"/>
      <c r="AG60" s="5"/>
      <c r="AH60" s="5"/>
      <c r="AI60" s="5"/>
      <c r="AJ60" s="5"/>
      <c r="AK60" s="5"/>
      <c r="AL60" s="5"/>
      <c r="AM60" s="5"/>
      <c r="AN60" s="5"/>
      <c r="AO60" s="5"/>
      <c r="AP60" s="5"/>
      <c r="AQ60" s="5"/>
      <c r="AR60" s="5"/>
      <c r="AS60" s="5"/>
      <c r="AT60" s="5"/>
      <c r="AU60" s="5"/>
      <c r="AV60" s="5"/>
    </row>
    <row r="61" ht="80.15" customHeight="1" spans="2:48">
      <c r="B61" s="17">
        <v>52</v>
      </c>
      <c r="C61" s="18" t="s">
        <v>225</v>
      </c>
      <c r="D61" s="18" t="s">
        <v>226</v>
      </c>
      <c r="E61" s="19"/>
      <c r="F61" s="18" t="s">
        <v>22</v>
      </c>
      <c r="G61" s="18" t="s">
        <v>189</v>
      </c>
      <c r="H61" s="32" t="s">
        <v>164</v>
      </c>
      <c r="I61" s="18" t="s">
        <v>227</v>
      </c>
      <c r="J61" s="18" t="s">
        <v>228</v>
      </c>
      <c r="K61" s="23">
        <f>L61*(1-0.22)</f>
        <v>5304</v>
      </c>
      <c r="L61" s="24">
        <v>6800</v>
      </c>
      <c r="M61" s="25">
        <v>0.22</v>
      </c>
      <c r="N61" s="26" t="s">
        <v>27</v>
      </c>
      <c r="O61" s="28" t="s">
        <v>229</v>
      </c>
      <c r="P61" s="27" t="s">
        <v>29</v>
      </c>
      <c r="U61" s="5"/>
      <c r="V61" s="5"/>
      <c r="W61" s="5"/>
      <c r="X61" s="5"/>
      <c r="Y61" s="5"/>
      <c r="Z61" s="5"/>
      <c r="AA61" s="5"/>
      <c r="AB61" s="5"/>
      <c r="AC61" s="5"/>
      <c r="AD61" s="5"/>
      <c r="AE61" s="5"/>
      <c r="AF61" s="5"/>
      <c r="AG61" s="5"/>
      <c r="AH61" s="5"/>
      <c r="AI61" s="5"/>
      <c r="AJ61" s="5"/>
      <c r="AK61" s="5"/>
      <c r="AL61" s="5"/>
      <c r="AM61" s="5"/>
      <c r="AN61" s="5"/>
      <c r="AO61" s="5"/>
      <c r="AP61" s="5"/>
      <c r="AQ61" s="5"/>
      <c r="AR61" s="5"/>
      <c r="AS61" s="5"/>
      <c r="AT61" s="5"/>
      <c r="AU61" s="5"/>
      <c r="AV61" s="5"/>
    </row>
    <row r="62" ht="80.15" customHeight="1" spans="2:48">
      <c r="B62" s="17">
        <v>53</v>
      </c>
      <c r="C62" s="18" t="s">
        <v>230</v>
      </c>
      <c r="D62" s="18" t="s">
        <v>226</v>
      </c>
      <c r="E62" s="19"/>
      <c r="F62" s="18" t="s">
        <v>22</v>
      </c>
      <c r="G62" s="18" t="s">
        <v>189</v>
      </c>
      <c r="H62" s="32" t="s">
        <v>164</v>
      </c>
      <c r="I62" s="18" t="s">
        <v>206</v>
      </c>
      <c r="J62" s="18" t="s">
        <v>228</v>
      </c>
      <c r="K62" s="23">
        <f>L62*(1-0.22)</f>
        <v>4173</v>
      </c>
      <c r="L62" s="24">
        <v>5350</v>
      </c>
      <c r="M62" s="25">
        <v>0.22</v>
      </c>
      <c r="N62" s="26" t="s">
        <v>27</v>
      </c>
      <c r="O62" s="28" t="s">
        <v>231</v>
      </c>
      <c r="P62" s="27" t="s">
        <v>29</v>
      </c>
      <c r="U62" s="5"/>
      <c r="V62" s="5"/>
      <c r="W62" s="5"/>
      <c r="X62" s="5"/>
      <c r="Y62" s="5"/>
      <c r="Z62" s="5"/>
      <c r="AA62" s="5"/>
      <c r="AB62" s="5"/>
      <c r="AC62" s="5"/>
      <c r="AD62" s="5"/>
      <c r="AE62" s="5"/>
      <c r="AF62" s="5"/>
      <c r="AG62" s="5"/>
      <c r="AH62" s="5"/>
      <c r="AI62" s="5"/>
      <c r="AJ62" s="5"/>
      <c r="AK62" s="5"/>
      <c r="AL62" s="5"/>
      <c r="AM62" s="5"/>
      <c r="AN62" s="5"/>
      <c r="AO62" s="5"/>
      <c r="AP62" s="5"/>
      <c r="AQ62" s="5"/>
      <c r="AR62" s="5"/>
      <c r="AS62" s="5"/>
      <c r="AT62" s="5"/>
      <c r="AU62" s="5"/>
      <c r="AV62" s="5"/>
    </row>
    <row r="63" ht="80.15" customHeight="1" spans="2:48">
      <c r="B63" s="17">
        <v>54</v>
      </c>
      <c r="C63" s="18" t="s">
        <v>230</v>
      </c>
      <c r="D63" s="18" t="s">
        <v>226</v>
      </c>
      <c r="E63" s="19"/>
      <c r="F63" s="18" t="s">
        <v>22</v>
      </c>
      <c r="G63" s="18" t="s">
        <v>189</v>
      </c>
      <c r="H63" s="32" t="s">
        <v>164</v>
      </c>
      <c r="I63" s="18" t="s">
        <v>212</v>
      </c>
      <c r="J63" s="18" t="s">
        <v>228</v>
      </c>
      <c r="K63" s="23">
        <f>L63*(1-0.22)</f>
        <v>5655</v>
      </c>
      <c r="L63" s="24">
        <v>7250</v>
      </c>
      <c r="M63" s="25">
        <v>0.22</v>
      </c>
      <c r="N63" s="26" t="s">
        <v>27</v>
      </c>
      <c r="O63" s="28" t="s">
        <v>232</v>
      </c>
      <c r="P63" s="27" t="s">
        <v>29</v>
      </c>
      <c r="U63" s="5"/>
      <c r="V63" s="5"/>
      <c r="W63" s="5"/>
      <c r="X63" s="5"/>
      <c r="Y63" s="5"/>
      <c r="Z63" s="5"/>
      <c r="AA63" s="5"/>
      <c r="AB63" s="5"/>
      <c r="AC63" s="5"/>
      <c r="AD63" s="5"/>
      <c r="AE63" s="5"/>
      <c r="AF63" s="5"/>
      <c r="AG63" s="5"/>
      <c r="AH63" s="5"/>
      <c r="AI63" s="5"/>
      <c r="AJ63" s="5"/>
      <c r="AK63" s="5"/>
      <c r="AL63" s="5"/>
      <c r="AM63" s="5"/>
      <c r="AN63" s="5"/>
      <c r="AO63" s="5"/>
      <c r="AP63" s="5"/>
      <c r="AQ63" s="5"/>
      <c r="AR63" s="5"/>
      <c r="AS63" s="5"/>
      <c r="AT63" s="5"/>
      <c r="AU63" s="5"/>
      <c r="AV63" s="5"/>
    </row>
    <row r="64" ht="50.15" customHeight="1" spans="2:48">
      <c r="B64" s="29" t="s">
        <v>233</v>
      </c>
      <c r="C64" s="30"/>
      <c r="D64" s="30"/>
      <c r="E64" s="30"/>
      <c r="F64" s="30"/>
      <c r="G64" s="30"/>
      <c r="H64" s="30"/>
      <c r="I64" s="30"/>
      <c r="J64" s="30"/>
      <c r="K64" s="30"/>
      <c r="L64" s="30"/>
      <c r="M64" s="31"/>
      <c r="N64" s="26" t="s">
        <v>27</v>
      </c>
      <c r="O64" s="28" t="s">
        <v>234</v>
      </c>
      <c r="P64" s="27" t="s">
        <v>29</v>
      </c>
      <c r="U64" s="5"/>
      <c r="V64" s="5"/>
      <c r="W64" s="5"/>
      <c r="X64" s="5"/>
      <c r="Y64" s="5"/>
      <c r="Z64" s="5"/>
      <c r="AA64" s="5"/>
      <c r="AB64" s="5"/>
      <c r="AC64" s="5"/>
      <c r="AD64" s="5"/>
      <c r="AE64" s="5"/>
      <c r="AF64" s="5"/>
      <c r="AG64" s="5"/>
      <c r="AH64" s="5"/>
      <c r="AI64" s="5"/>
      <c r="AJ64" s="5"/>
      <c r="AK64" s="5"/>
      <c r="AL64" s="5"/>
      <c r="AM64" s="5"/>
      <c r="AN64" s="5"/>
      <c r="AO64" s="5"/>
      <c r="AP64" s="5"/>
      <c r="AQ64" s="5"/>
      <c r="AR64" s="5"/>
      <c r="AS64" s="5"/>
      <c r="AT64" s="5"/>
      <c r="AU64" s="5"/>
      <c r="AV64" s="5"/>
    </row>
    <row r="65" ht="80.15" customHeight="1" spans="2:48">
      <c r="B65" s="17">
        <v>55</v>
      </c>
      <c r="C65" s="18" t="s">
        <v>235</v>
      </c>
      <c r="D65" s="18" t="s">
        <v>233</v>
      </c>
      <c r="E65" s="18"/>
      <c r="F65" s="18" t="s">
        <v>22</v>
      </c>
      <c r="G65" s="18" t="s">
        <v>23</v>
      </c>
      <c r="H65" s="32" t="s">
        <v>236</v>
      </c>
      <c r="I65" s="18" t="s">
        <v>78</v>
      </c>
      <c r="J65" s="18" t="s">
        <v>151</v>
      </c>
      <c r="K65" s="23">
        <f t="shared" ref="K65:K70" si="4">L65*(1-0.22)</f>
        <v>5070</v>
      </c>
      <c r="L65" s="24">
        <v>6500</v>
      </c>
      <c r="M65" s="25">
        <v>0.22</v>
      </c>
      <c r="N65" s="26" t="s">
        <v>27</v>
      </c>
      <c r="O65" s="28" t="s">
        <v>237</v>
      </c>
      <c r="P65" s="27" t="s">
        <v>29</v>
      </c>
      <c r="U65" s="5"/>
      <c r="V65" s="5"/>
      <c r="W65" s="5"/>
      <c r="X65" s="5"/>
      <c r="Y65" s="5"/>
      <c r="Z65" s="5"/>
      <c r="AA65" s="5"/>
      <c r="AB65" s="5"/>
      <c r="AC65" s="5"/>
      <c r="AD65" s="5"/>
      <c r="AE65" s="5"/>
      <c r="AF65" s="5"/>
      <c r="AG65" s="5"/>
      <c r="AH65" s="5"/>
      <c r="AI65" s="5"/>
      <c r="AJ65" s="5"/>
      <c r="AK65" s="5"/>
      <c r="AL65" s="5"/>
      <c r="AM65" s="5"/>
      <c r="AN65" s="5"/>
      <c r="AO65" s="5"/>
      <c r="AP65" s="5"/>
      <c r="AQ65" s="5"/>
      <c r="AR65" s="5"/>
      <c r="AS65" s="5"/>
      <c r="AT65" s="5"/>
      <c r="AU65" s="5"/>
      <c r="AV65" s="5"/>
    </row>
    <row r="66" ht="80.15" customHeight="1" spans="2:48">
      <c r="B66" s="17">
        <v>56</v>
      </c>
      <c r="C66" s="18" t="s">
        <v>235</v>
      </c>
      <c r="D66" s="18" t="s">
        <v>233</v>
      </c>
      <c r="E66" s="19"/>
      <c r="F66" s="18" t="s">
        <v>22</v>
      </c>
      <c r="G66" s="18" t="s">
        <v>23</v>
      </c>
      <c r="H66" s="32" t="s">
        <v>236</v>
      </c>
      <c r="I66" s="18" t="s">
        <v>238</v>
      </c>
      <c r="J66" s="18" t="s">
        <v>151</v>
      </c>
      <c r="K66" s="23">
        <f t="shared" si="4"/>
        <v>3510</v>
      </c>
      <c r="L66" s="24">
        <v>4500</v>
      </c>
      <c r="M66" s="25">
        <v>0.22</v>
      </c>
      <c r="N66" s="26" t="s">
        <v>27</v>
      </c>
      <c r="O66" s="28" t="s">
        <v>239</v>
      </c>
      <c r="P66" s="27" t="s">
        <v>29</v>
      </c>
      <c r="U66" s="5"/>
      <c r="V66" s="5"/>
      <c r="W66" s="5"/>
      <c r="X66" s="5"/>
      <c r="Y66" s="5"/>
      <c r="Z66" s="5"/>
      <c r="AA66" s="5"/>
      <c r="AB66" s="5"/>
      <c r="AC66" s="5"/>
      <c r="AD66" s="5"/>
      <c r="AE66" s="5"/>
      <c r="AF66" s="5"/>
      <c r="AG66" s="5"/>
      <c r="AH66" s="5"/>
      <c r="AI66" s="5"/>
      <c r="AJ66" s="5"/>
      <c r="AK66" s="5"/>
      <c r="AL66" s="5"/>
      <c r="AM66" s="5"/>
      <c r="AN66" s="5"/>
      <c r="AO66" s="5"/>
      <c r="AP66" s="5"/>
      <c r="AQ66" s="5"/>
      <c r="AR66" s="5"/>
      <c r="AS66" s="5"/>
      <c r="AT66" s="5"/>
      <c r="AU66" s="5"/>
      <c r="AV66" s="5"/>
    </row>
    <row r="67" ht="80.15" customHeight="1" spans="2:48">
      <c r="B67" s="17">
        <v>57</v>
      </c>
      <c r="C67" s="18" t="s">
        <v>235</v>
      </c>
      <c r="D67" s="18" t="s">
        <v>233</v>
      </c>
      <c r="E67" s="19"/>
      <c r="F67" s="18" t="s">
        <v>22</v>
      </c>
      <c r="G67" s="18" t="s">
        <v>23</v>
      </c>
      <c r="H67" s="32" t="s">
        <v>236</v>
      </c>
      <c r="I67" s="18" t="s">
        <v>240</v>
      </c>
      <c r="J67" s="18" t="s">
        <v>151</v>
      </c>
      <c r="K67" s="23">
        <f t="shared" si="4"/>
        <v>3354</v>
      </c>
      <c r="L67" s="24">
        <v>4300</v>
      </c>
      <c r="M67" s="25">
        <v>0.22</v>
      </c>
      <c r="N67" s="26" t="s">
        <v>27</v>
      </c>
      <c r="O67" s="28" t="s">
        <v>241</v>
      </c>
      <c r="P67" s="27" t="s">
        <v>29</v>
      </c>
      <c r="U67" s="5"/>
      <c r="V67" s="5"/>
      <c r="W67" s="5"/>
      <c r="X67" s="5"/>
      <c r="Y67" s="5"/>
      <c r="Z67" s="5"/>
      <c r="AA67" s="5"/>
      <c r="AB67" s="5"/>
      <c r="AC67" s="5"/>
      <c r="AD67" s="5"/>
      <c r="AE67" s="5"/>
      <c r="AF67" s="5"/>
      <c r="AG67" s="5"/>
      <c r="AH67" s="5"/>
      <c r="AI67" s="5"/>
      <c r="AJ67" s="5"/>
      <c r="AK67" s="5"/>
      <c r="AL67" s="5"/>
      <c r="AM67" s="5"/>
      <c r="AN67" s="5"/>
      <c r="AO67" s="5"/>
      <c r="AP67" s="5"/>
      <c r="AQ67" s="5"/>
      <c r="AR67" s="5"/>
      <c r="AS67" s="5"/>
      <c r="AT67" s="5"/>
      <c r="AU67" s="5"/>
      <c r="AV67" s="5"/>
    </row>
    <row r="68" ht="80.15" customHeight="1" spans="2:48">
      <c r="B68" s="17">
        <v>58</v>
      </c>
      <c r="C68" s="18" t="s">
        <v>242</v>
      </c>
      <c r="D68" s="18" t="s">
        <v>233</v>
      </c>
      <c r="E68" s="19"/>
      <c r="F68" s="18" t="s">
        <v>22</v>
      </c>
      <c r="G68" s="18" t="s">
        <v>23</v>
      </c>
      <c r="H68" s="32" t="s">
        <v>236</v>
      </c>
      <c r="I68" s="18" t="s">
        <v>243</v>
      </c>
      <c r="J68" s="18" t="s">
        <v>244</v>
      </c>
      <c r="K68" s="23">
        <f t="shared" si="4"/>
        <v>11310</v>
      </c>
      <c r="L68" s="24">
        <v>14500</v>
      </c>
      <c r="M68" s="25">
        <v>0.22</v>
      </c>
      <c r="N68" s="26" t="s">
        <v>27</v>
      </c>
      <c r="O68" s="28" t="s">
        <v>245</v>
      </c>
      <c r="P68" s="27" t="s">
        <v>29</v>
      </c>
    </row>
    <row r="69" ht="80.15" customHeight="1" spans="2:48">
      <c r="B69" s="17">
        <v>59</v>
      </c>
      <c r="C69" s="18" t="s">
        <v>246</v>
      </c>
      <c r="D69" s="18" t="s">
        <v>233</v>
      </c>
      <c r="E69" s="18"/>
      <c r="F69" s="18" t="s">
        <v>22</v>
      </c>
      <c r="G69" s="18" t="s">
        <v>23</v>
      </c>
      <c r="H69" s="32" t="s">
        <v>236</v>
      </c>
      <c r="I69" s="18" t="s">
        <v>243</v>
      </c>
      <c r="J69" s="18" t="s">
        <v>151</v>
      </c>
      <c r="K69" s="23">
        <f t="shared" si="4"/>
        <v>18720</v>
      </c>
      <c r="L69" s="24">
        <v>24000</v>
      </c>
      <c r="M69" s="25">
        <v>0.22</v>
      </c>
      <c r="N69" s="26" t="s">
        <v>27</v>
      </c>
      <c r="O69" s="28" t="s">
        <v>247</v>
      </c>
      <c r="P69" s="27" t="s">
        <v>29</v>
      </c>
    </row>
    <row r="70" ht="80.15" customHeight="1" spans="2:48">
      <c r="B70" s="17">
        <v>60</v>
      </c>
      <c r="C70" s="18" t="s">
        <v>248</v>
      </c>
      <c r="D70" s="18" t="s">
        <v>233</v>
      </c>
      <c r="E70" s="19"/>
      <c r="F70" s="18" t="s">
        <v>22</v>
      </c>
      <c r="G70" s="18" t="s">
        <v>23</v>
      </c>
      <c r="H70" s="32" t="s">
        <v>236</v>
      </c>
      <c r="I70" s="18" t="s">
        <v>249</v>
      </c>
      <c r="J70" s="18" t="s">
        <v>244</v>
      </c>
      <c r="K70" s="23">
        <f t="shared" si="4"/>
        <v>5850</v>
      </c>
      <c r="L70" s="24">
        <v>7500</v>
      </c>
      <c r="M70" s="25">
        <v>0.22</v>
      </c>
      <c r="N70" s="26" t="s">
        <v>27</v>
      </c>
      <c r="O70" s="28" t="s">
        <v>250</v>
      </c>
      <c r="P70" s="27" t="s">
        <v>29</v>
      </c>
    </row>
    <row r="71" ht="50.15" customHeight="1" spans="2:48">
      <c r="B71" s="29" t="s">
        <v>251</v>
      </c>
      <c r="C71" s="30"/>
      <c r="D71" s="30"/>
      <c r="E71" s="30"/>
      <c r="F71" s="30"/>
      <c r="G71" s="30"/>
      <c r="H71" s="30"/>
      <c r="I71" s="30"/>
      <c r="J71" s="30"/>
      <c r="K71" s="30"/>
      <c r="L71" s="30"/>
      <c r="M71" s="31"/>
      <c r="N71" s="26" t="s">
        <v>27</v>
      </c>
      <c r="O71" s="28" t="s">
        <v>252</v>
      </c>
      <c r="P71" s="27" t="s">
        <v>29</v>
      </c>
    </row>
    <row r="72" s="1" customFormat="1" ht="80.15" customHeight="1" spans="2:48">
      <c r="B72" s="38">
        <v>61</v>
      </c>
      <c r="C72" s="39" t="s">
        <v>253</v>
      </c>
      <c r="D72" s="40" t="s">
        <v>254</v>
      </c>
      <c r="E72" s="41"/>
      <c r="F72" s="39" t="s">
        <v>255</v>
      </c>
      <c r="G72" s="39" t="s">
        <v>23</v>
      </c>
      <c r="H72" s="42" t="s">
        <v>251</v>
      </c>
      <c r="I72" s="43" t="s">
        <v>256</v>
      </c>
      <c r="J72" s="40" t="s">
        <v>257</v>
      </c>
      <c r="K72" s="44">
        <f t="shared" ref="K72:K85" si="5">L72*(1-22%)</f>
        <v>0</v>
      </c>
      <c r="L72" s="45"/>
      <c r="M72" s="46">
        <v>0.22</v>
      </c>
      <c r="N72" s="26" t="s">
        <v>27</v>
      </c>
      <c r="O72" s="28" t="s">
        <v>258</v>
      </c>
      <c r="P72" s="27" t="s">
        <v>29</v>
      </c>
      <c r="Q72" s="47"/>
      <c r="R72" s="47"/>
      <c r="S72" s="47"/>
      <c r="T72" s="47"/>
    </row>
    <row r="73" s="1" customFormat="1" ht="80.15" customHeight="1" spans="2:48">
      <c r="B73" s="48"/>
      <c r="C73" s="49"/>
      <c r="D73" s="40" t="s">
        <v>259</v>
      </c>
      <c r="E73" s="50"/>
      <c r="F73" s="51"/>
      <c r="G73" s="49"/>
      <c r="H73" s="52"/>
      <c r="I73" s="51"/>
      <c r="J73" s="40" t="s">
        <v>257</v>
      </c>
      <c r="K73" s="44">
        <f t="shared" si="5"/>
        <v>0</v>
      </c>
      <c r="L73" s="45"/>
      <c r="M73" s="46">
        <v>0.22</v>
      </c>
      <c r="N73" s="26" t="s">
        <v>27</v>
      </c>
      <c r="O73" s="28" t="s">
        <v>260</v>
      </c>
      <c r="P73" s="27" t="s">
        <v>29</v>
      </c>
      <c r="Q73" s="47"/>
      <c r="R73" s="47"/>
      <c r="S73" s="47"/>
      <c r="T73" s="47"/>
    </row>
    <row r="74" ht="80.15" customHeight="1" spans="2:48">
      <c r="B74" s="53">
        <v>62</v>
      </c>
      <c r="C74" s="36" t="s">
        <v>261</v>
      </c>
      <c r="D74" s="18" t="s">
        <v>254</v>
      </c>
      <c r="E74" s="54"/>
      <c r="F74" s="36" t="s">
        <v>262</v>
      </c>
      <c r="G74" s="36" t="s">
        <v>23</v>
      </c>
      <c r="H74" s="55" t="s">
        <v>251</v>
      </c>
      <c r="I74" s="56" t="s">
        <v>263</v>
      </c>
      <c r="J74" s="57" t="s">
        <v>264</v>
      </c>
      <c r="K74" s="58">
        <f t="shared" si="5"/>
        <v>19500</v>
      </c>
      <c r="L74" s="24">
        <v>25000</v>
      </c>
      <c r="M74" s="25">
        <v>0.22</v>
      </c>
      <c r="N74" s="26" t="s">
        <v>27</v>
      </c>
      <c r="O74" s="28" t="s">
        <v>265</v>
      </c>
      <c r="P74" s="27" t="s">
        <v>29</v>
      </c>
    </row>
    <row r="75" ht="80.15" customHeight="1" spans="2:48">
      <c r="B75" s="59"/>
      <c r="C75" s="60"/>
      <c r="D75" s="18" t="s">
        <v>259</v>
      </c>
      <c r="E75" s="61"/>
      <c r="F75" s="62"/>
      <c r="G75" s="60"/>
      <c r="H75" s="63"/>
      <c r="I75" s="62"/>
      <c r="J75" s="64"/>
      <c r="K75" s="58">
        <f t="shared" si="5"/>
        <v>13650</v>
      </c>
      <c r="L75" s="24">
        <v>17500</v>
      </c>
      <c r="M75" s="25">
        <v>0.22</v>
      </c>
      <c r="N75" s="26" t="s">
        <v>27</v>
      </c>
      <c r="O75" s="28" t="s">
        <v>266</v>
      </c>
      <c r="P75" s="27" t="s">
        <v>29</v>
      </c>
    </row>
    <row r="76" ht="80.15" customHeight="1" spans="2:48">
      <c r="B76" s="53">
        <v>63</v>
      </c>
      <c r="C76" s="36" t="s">
        <v>267</v>
      </c>
      <c r="D76" s="18" t="s">
        <v>254</v>
      </c>
      <c r="E76" s="54"/>
      <c r="F76" s="36" t="s">
        <v>268</v>
      </c>
      <c r="G76" s="36" t="s">
        <v>23</v>
      </c>
      <c r="H76" s="55" t="s">
        <v>251</v>
      </c>
      <c r="I76" s="56" t="s">
        <v>263</v>
      </c>
      <c r="J76" s="57" t="s">
        <v>269</v>
      </c>
      <c r="K76" s="58">
        <f t="shared" si="5"/>
        <v>24960</v>
      </c>
      <c r="L76" s="24">
        <v>32000</v>
      </c>
      <c r="M76" s="25">
        <v>0.22</v>
      </c>
      <c r="N76" s="26" t="s">
        <v>27</v>
      </c>
      <c r="O76" s="28" t="s">
        <v>270</v>
      </c>
      <c r="P76" s="27" t="s">
        <v>29</v>
      </c>
    </row>
    <row r="77" ht="80.15" customHeight="1" spans="2:48">
      <c r="B77" s="59"/>
      <c r="C77" s="60"/>
      <c r="D77" s="18" t="s">
        <v>259</v>
      </c>
      <c r="E77" s="61"/>
      <c r="F77" s="62"/>
      <c r="G77" s="60"/>
      <c r="H77" s="63"/>
      <c r="I77" s="62"/>
      <c r="J77" s="64"/>
      <c r="K77" s="58">
        <f t="shared" si="5"/>
        <v>17160</v>
      </c>
      <c r="L77" s="24">
        <v>22000</v>
      </c>
      <c r="M77" s="25">
        <v>0.22</v>
      </c>
      <c r="N77" s="26" t="s">
        <v>27</v>
      </c>
      <c r="O77" s="28" t="s">
        <v>271</v>
      </c>
      <c r="P77" s="27" t="s">
        <v>29</v>
      </c>
    </row>
    <row r="78" s="1" customFormat="1" ht="80.15" customHeight="1" spans="2:48">
      <c r="B78" s="38">
        <v>64</v>
      </c>
      <c r="C78" s="39" t="s">
        <v>272</v>
      </c>
      <c r="D78" s="40" t="s">
        <v>254</v>
      </c>
      <c r="E78" s="65"/>
      <c r="F78" s="39" t="s">
        <v>273</v>
      </c>
      <c r="G78" s="39" t="s">
        <v>23</v>
      </c>
      <c r="H78" s="42" t="s">
        <v>251</v>
      </c>
      <c r="I78" s="43" t="s">
        <v>256</v>
      </c>
      <c r="J78" s="66" t="s">
        <v>269</v>
      </c>
      <c r="K78" s="44">
        <f t="shared" si="5"/>
        <v>0</v>
      </c>
      <c r="L78" s="45"/>
      <c r="M78" s="46">
        <v>0.22</v>
      </c>
      <c r="N78" s="26" t="s">
        <v>27</v>
      </c>
      <c r="O78" s="28" t="s">
        <v>274</v>
      </c>
      <c r="P78" s="27" t="s">
        <v>29</v>
      </c>
      <c r="Q78" s="47"/>
      <c r="R78" s="47"/>
      <c r="S78" s="47"/>
      <c r="T78" s="47"/>
    </row>
    <row r="79" s="1" customFormat="1" ht="80.15" customHeight="1" spans="2:48">
      <c r="B79" s="48"/>
      <c r="C79" s="49"/>
      <c r="D79" s="40" t="s">
        <v>259</v>
      </c>
      <c r="E79" s="67"/>
      <c r="F79" s="51"/>
      <c r="G79" s="49"/>
      <c r="H79" s="52"/>
      <c r="I79" s="51"/>
      <c r="J79" s="68"/>
      <c r="K79" s="44">
        <f t="shared" si="5"/>
        <v>0</v>
      </c>
      <c r="L79" s="45"/>
      <c r="M79" s="46">
        <v>0.22</v>
      </c>
      <c r="N79" s="26" t="s">
        <v>27</v>
      </c>
      <c r="O79" s="28" t="s">
        <v>275</v>
      </c>
      <c r="P79" s="27" t="s">
        <v>29</v>
      </c>
      <c r="Q79" s="47"/>
      <c r="R79" s="47"/>
      <c r="S79" s="47"/>
      <c r="T79" s="47"/>
    </row>
    <row r="80" ht="80.15" customHeight="1" spans="2:48">
      <c r="B80" s="53">
        <v>65</v>
      </c>
      <c r="C80" s="36" t="s">
        <v>276</v>
      </c>
      <c r="D80" s="18" t="s">
        <v>254</v>
      </c>
      <c r="E80" s="69"/>
      <c r="F80" s="36" t="s">
        <v>277</v>
      </c>
      <c r="G80" s="36" t="s">
        <v>23</v>
      </c>
      <c r="H80" s="55" t="s">
        <v>251</v>
      </c>
      <c r="I80" s="56" t="s">
        <v>263</v>
      </c>
      <c r="J80" s="57" t="s">
        <v>269</v>
      </c>
      <c r="K80" s="58">
        <f t="shared" si="5"/>
        <v>17550</v>
      </c>
      <c r="L80" s="24">
        <v>22500</v>
      </c>
      <c r="M80" s="25">
        <v>0.22</v>
      </c>
      <c r="N80" s="26" t="s">
        <v>27</v>
      </c>
      <c r="O80" s="28" t="s">
        <v>278</v>
      </c>
      <c r="P80" s="27" t="s">
        <v>29</v>
      </c>
    </row>
    <row r="81" ht="80.15" customHeight="1" spans="2:20">
      <c r="B81" s="59"/>
      <c r="C81" s="60"/>
      <c r="D81" s="18" t="s">
        <v>259</v>
      </c>
      <c r="E81" s="70"/>
      <c r="F81" s="62"/>
      <c r="G81" s="60"/>
      <c r="H81" s="63"/>
      <c r="I81" s="62"/>
      <c r="J81" s="64"/>
      <c r="K81" s="58">
        <f t="shared" si="5"/>
        <v>11778</v>
      </c>
      <c r="L81" s="24">
        <v>15100</v>
      </c>
      <c r="M81" s="25">
        <v>0.22</v>
      </c>
      <c r="N81" s="26" t="s">
        <v>27</v>
      </c>
      <c r="O81" s="28" t="s">
        <v>279</v>
      </c>
      <c r="P81" s="27" t="s">
        <v>29</v>
      </c>
    </row>
    <row r="82" ht="80.15" customHeight="1" spans="2:20">
      <c r="B82" s="53">
        <v>66</v>
      </c>
      <c r="C82" s="36" t="s">
        <v>280</v>
      </c>
      <c r="D82" s="18" t="s">
        <v>254</v>
      </c>
      <c r="E82" s="69"/>
      <c r="F82" s="36" t="s">
        <v>281</v>
      </c>
      <c r="G82" s="36" t="s">
        <v>23</v>
      </c>
      <c r="H82" s="55" t="s">
        <v>251</v>
      </c>
      <c r="I82" s="56" t="s">
        <v>263</v>
      </c>
      <c r="J82" s="57" t="s">
        <v>282</v>
      </c>
      <c r="K82" s="58">
        <f t="shared" si="5"/>
        <v>11310</v>
      </c>
      <c r="L82" s="24">
        <v>14500</v>
      </c>
      <c r="M82" s="25">
        <v>0.22</v>
      </c>
      <c r="N82" s="26" t="s">
        <v>27</v>
      </c>
      <c r="O82" s="28" t="s">
        <v>283</v>
      </c>
      <c r="P82" s="27" t="s">
        <v>29</v>
      </c>
    </row>
    <row r="83" ht="80.15" customHeight="1" spans="2:20">
      <c r="B83" s="59"/>
      <c r="C83" s="71"/>
      <c r="D83" s="18" t="s">
        <v>259</v>
      </c>
      <c r="E83" s="70"/>
      <c r="F83" s="62"/>
      <c r="G83" s="60"/>
      <c r="H83" s="63"/>
      <c r="I83" s="62"/>
      <c r="J83" s="64"/>
      <c r="K83" s="58">
        <f t="shared" si="5"/>
        <v>6396</v>
      </c>
      <c r="L83" s="24">
        <v>8200</v>
      </c>
      <c r="M83" s="25">
        <v>0.22</v>
      </c>
      <c r="N83" s="26" t="s">
        <v>27</v>
      </c>
      <c r="O83" s="28" t="s">
        <v>284</v>
      </c>
      <c r="P83" s="27" t="s">
        <v>29</v>
      </c>
    </row>
    <row r="84" ht="80.15" customHeight="1" spans="2:20">
      <c r="B84" s="53">
        <v>67</v>
      </c>
      <c r="C84" s="72" t="s">
        <v>285</v>
      </c>
      <c r="D84" s="18" t="s">
        <v>254</v>
      </c>
      <c r="E84" s="69"/>
      <c r="F84" s="36" t="s">
        <v>286</v>
      </c>
      <c r="G84" s="36" t="s">
        <v>23</v>
      </c>
      <c r="H84" s="55" t="s">
        <v>251</v>
      </c>
      <c r="I84" s="56" t="s">
        <v>263</v>
      </c>
      <c r="J84" s="57" t="s">
        <v>282</v>
      </c>
      <c r="K84" s="58">
        <f t="shared" si="5"/>
        <v>15210</v>
      </c>
      <c r="L84" s="24">
        <v>19500</v>
      </c>
      <c r="M84" s="25">
        <v>0.22</v>
      </c>
      <c r="N84" s="26" t="s">
        <v>27</v>
      </c>
      <c r="O84" s="28" t="s">
        <v>287</v>
      </c>
      <c r="P84" s="27" t="s">
        <v>29</v>
      </c>
    </row>
    <row r="85" ht="80.15" customHeight="1" spans="2:20">
      <c r="B85" s="59"/>
      <c r="C85" s="72"/>
      <c r="D85" s="18" t="s">
        <v>259</v>
      </c>
      <c r="E85" s="70"/>
      <c r="F85" s="62"/>
      <c r="G85" s="60"/>
      <c r="H85" s="63"/>
      <c r="I85" s="62"/>
      <c r="J85" s="64"/>
      <c r="K85" s="58">
        <f t="shared" si="5"/>
        <v>9750</v>
      </c>
      <c r="L85" s="24">
        <v>12500</v>
      </c>
      <c r="M85" s="25">
        <v>0.22</v>
      </c>
      <c r="N85" s="26" t="s">
        <v>27</v>
      </c>
      <c r="O85" s="28" t="s">
        <v>288</v>
      </c>
      <c r="P85" s="27" t="s">
        <v>29</v>
      </c>
    </row>
    <row r="86" s="1" customFormat="1" ht="80.15" customHeight="1" spans="2:20">
      <c r="B86" s="38">
        <v>68</v>
      </c>
      <c r="C86" s="73" t="s">
        <v>289</v>
      </c>
      <c r="D86" s="74"/>
      <c r="E86" s="65"/>
      <c r="F86" s="39" t="s">
        <v>290</v>
      </c>
      <c r="G86" s="39" t="s">
        <v>23</v>
      </c>
      <c r="H86" s="42" t="s">
        <v>251</v>
      </c>
      <c r="I86" s="39" t="s">
        <v>291</v>
      </c>
      <c r="J86" s="66" t="s">
        <v>282</v>
      </c>
      <c r="K86" s="44"/>
      <c r="L86" s="45"/>
      <c r="M86" s="46">
        <v>0.22</v>
      </c>
      <c r="N86" s="26" t="s">
        <v>27</v>
      </c>
      <c r="O86" s="28" t="s">
        <v>292</v>
      </c>
      <c r="P86" s="27" t="s">
        <v>29</v>
      </c>
      <c r="Q86" s="47"/>
      <c r="R86" s="47"/>
      <c r="S86" s="47"/>
      <c r="T86" s="47"/>
    </row>
    <row r="87" s="1" customFormat="1" ht="80.15" customHeight="1" spans="2:20">
      <c r="B87" s="48"/>
      <c r="C87" s="73"/>
      <c r="D87" s="40" t="s">
        <v>259</v>
      </c>
      <c r="E87" s="67"/>
      <c r="F87" s="49"/>
      <c r="G87" s="49"/>
      <c r="H87" s="52"/>
      <c r="I87" s="49"/>
      <c r="J87" s="68"/>
      <c r="K87" s="44">
        <f>L87*(1-22%)</f>
        <v>0</v>
      </c>
      <c r="L87" s="45"/>
      <c r="M87" s="46">
        <v>0.22</v>
      </c>
      <c r="N87" s="26" t="s">
        <v>27</v>
      </c>
      <c r="O87" s="28" t="s">
        <v>293</v>
      </c>
      <c r="P87" s="27" t="s">
        <v>29</v>
      </c>
      <c r="Q87" s="47"/>
      <c r="R87" s="47"/>
      <c r="S87" s="47"/>
      <c r="T87" s="47"/>
    </row>
    <row r="88" ht="50.15" customHeight="1" spans="2:20">
      <c r="B88" s="29" t="s">
        <v>251</v>
      </c>
      <c r="C88" s="30"/>
      <c r="D88" s="30"/>
      <c r="E88" s="30"/>
      <c r="F88" s="30"/>
      <c r="G88" s="30"/>
      <c r="H88" s="30"/>
      <c r="I88" s="30"/>
      <c r="J88" s="30"/>
      <c r="K88" s="30"/>
      <c r="L88" s="30"/>
      <c r="M88" s="31"/>
      <c r="N88" s="26" t="s">
        <v>27</v>
      </c>
      <c r="O88" s="28" t="s">
        <v>294</v>
      </c>
      <c r="P88" s="27" t="s">
        <v>29</v>
      </c>
    </row>
    <row r="89" s="1" customFormat="1" ht="80.15" customHeight="1" spans="2:20">
      <c r="B89" s="75">
        <v>69</v>
      </c>
      <c r="C89" s="40" t="s">
        <v>295</v>
      </c>
      <c r="D89" s="40" t="s">
        <v>254</v>
      </c>
      <c r="E89" s="65"/>
      <c r="F89" s="40" t="s">
        <v>296</v>
      </c>
      <c r="G89" s="76" t="s">
        <v>23</v>
      </c>
      <c r="H89" s="77" t="s">
        <v>251</v>
      </c>
      <c r="I89" s="78" t="s">
        <v>291</v>
      </c>
      <c r="J89" s="66" t="s">
        <v>269</v>
      </c>
      <c r="K89" s="79">
        <f>L89*(1-0.22)</f>
        <v>0</v>
      </c>
      <c r="L89" s="80"/>
      <c r="M89" s="46">
        <v>0.22</v>
      </c>
      <c r="N89" s="26" t="s">
        <v>27</v>
      </c>
      <c r="O89" s="28" t="s">
        <v>297</v>
      </c>
      <c r="P89" s="27" t="s">
        <v>29</v>
      </c>
      <c r="Q89" s="47"/>
      <c r="R89" s="47"/>
      <c r="S89" s="47"/>
      <c r="T89" s="47"/>
    </row>
    <row r="90" s="1" customFormat="1" ht="80.15" customHeight="1" spans="2:20">
      <c r="B90" s="75">
        <v>70</v>
      </c>
      <c r="C90" s="40" t="s">
        <v>298</v>
      </c>
      <c r="D90" s="40" t="s">
        <v>299</v>
      </c>
      <c r="E90" s="67"/>
      <c r="F90" s="40" t="s">
        <v>296</v>
      </c>
      <c r="G90" s="40" t="s">
        <v>23</v>
      </c>
      <c r="H90" s="81" t="s">
        <v>251</v>
      </c>
      <c r="I90" s="40" t="s">
        <v>291</v>
      </c>
      <c r="J90" s="66" t="s">
        <v>269</v>
      </c>
      <c r="K90" s="79">
        <f>L90*(1-0.22)</f>
        <v>0</v>
      </c>
      <c r="L90" s="80"/>
      <c r="M90" s="46">
        <v>0.22</v>
      </c>
      <c r="N90" s="26" t="s">
        <v>27</v>
      </c>
      <c r="O90" s="28" t="s">
        <v>300</v>
      </c>
      <c r="P90" s="27" t="s">
        <v>29</v>
      </c>
      <c r="Q90" s="47"/>
      <c r="R90" s="47"/>
      <c r="S90" s="47"/>
      <c r="T90" s="47"/>
    </row>
    <row r="91" ht="50.15" customHeight="1" spans="2:20">
      <c r="B91" s="29" t="s">
        <v>301</v>
      </c>
      <c r="C91" s="30"/>
      <c r="D91" s="30"/>
      <c r="E91" s="30"/>
      <c r="F91" s="30"/>
      <c r="G91" s="30"/>
      <c r="H91" s="30"/>
      <c r="I91" s="30"/>
      <c r="J91" s="30"/>
      <c r="K91" s="30"/>
      <c r="L91" s="30"/>
      <c r="M91" s="31"/>
      <c r="N91" s="26" t="s">
        <v>27</v>
      </c>
      <c r="O91" s="28" t="s">
        <v>302</v>
      </c>
      <c r="P91" s="27" t="s">
        <v>29</v>
      </c>
    </row>
    <row r="92" s="1" customFormat="1" ht="80.15" customHeight="1" spans="2:20">
      <c r="B92" s="75">
        <v>71</v>
      </c>
      <c r="C92" s="40" t="s">
        <v>303</v>
      </c>
      <c r="D92" s="40" t="s">
        <v>304</v>
      </c>
      <c r="E92" s="80"/>
      <c r="F92" s="40" t="s">
        <v>305</v>
      </c>
      <c r="G92" s="40" t="s">
        <v>23</v>
      </c>
      <c r="H92" s="82" t="s">
        <v>306</v>
      </c>
      <c r="I92" s="40" t="s">
        <v>291</v>
      </c>
      <c r="J92" s="40" t="s">
        <v>257</v>
      </c>
      <c r="K92" s="83">
        <f t="shared" ref="K92:K111" si="6">L92*(1-22%)</f>
        <v>0</v>
      </c>
      <c r="L92" s="84"/>
      <c r="M92" s="46">
        <v>0.22</v>
      </c>
      <c r="N92" s="26" t="s">
        <v>27</v>
      </c>
      <c r="O92" s="28" t="s">
        <v>307</v>
      </c>
      <c r="P92" s="27" t="s">
        <v>29</v>
      </c>
      <c r="Q92" s="47"/>
      <c r="R92" s="47"/>
      <c r="S92" s="47"/>
      <c r="T92" s="47"/>
    </row>
    <row r="93" s="1" customFormat="1" ht="80.15" customHeight="1" spans="2:20">
      <c r="B93" s="75">
        <v>72</v>
      </c>
      <c r="C93" s="40" t="s">
        <v>308</v>
      </c>
      <c r="D93" s="40" t="s">
        <v>304</v>
      </c>
      <c r="E93" s="80"/>
      <c r="F93" s="40" t="s">
        <v>309</v>
      </c>
      <c r="G93" s="40" t="s">
        <v>23</v>
      </c>
      <c r="H93" s="82" t="s">
        <v>306</v>
      </c>
      <c r="I93" s="40" t="s">
        <v>291</v>
      </c>
      <c r="J93" s="40" t="s">
        <v>257</v>
      </c>
      <c r="K93" s="83">
        <f t="shared" si="6"/>
        <v>0</v>
      </c>
      <c r="L93" s="84"/>
      <c r="M93" s="46">
        <v>0.22</v>
      </c>
      <c r="N93" s="26" t="s">
        <v>27</v>
      </c>
      <c r="O93" s="28" t="s">
        <v>310</v>
      </c>
      <c r="P93" s="27" t="s">
        <v>29</v>
      </c>
      <c r="Q93" s="47"/>
      <c r="R93" s="47"/>
      <c r="S93" s="47"/>
      <c r="T93" s="47"/>
    </row>
    <row r="94" s="1" customFormat="1" ht="80.15" customHeight="1" spans="2:20">
      <c r="B94" s="75">
        <v>73</v>
      </c>
      <c r="C94" s="40" t="s">
        <v>311</v>
      </c>
      <c r="D94" s="40" t="s">
        <v>304</v>
      </c>
      <c r="E94" s="80"/>
      <c r="F94" s="40" t="s">
        <v>309</v>
      </c>
      <c r="G94" s="40" t="s">
        <v>23</v>
      </c>
      <c r="H94" s="82" t="s">
        <v>306</v>
      </c>
      <c r="I94" s="40" t="s">
        <v>291</v>
      </c>
      <c r="J94" s="40" t="s">
        <v>257</v>
      </c>
      <c r="K94" s="83">
        <f t="shared" si="6"/>
        <v>0</v>
      </c>
      <c r="L94" s="84"/>
      <c r="M94" s="46">
        <v>0.22</v>
      </c>
      <c r="N94" s="26" t="s">
        <v>27</v>
      </c>
      <c r="O94" s="28" t="s">
        <v>312</v>
      </c>
      <c r="P94" s="27" t="s">
        <v>29</v>
      </c>
      <c r="Q94" s="47"/>
      <c r="R94" s="47"/>
      <c r="S94" s="47"/>
      <c r="T94" s="47"/>
    </row>
    <row r="95" s="1" customFormat="1" ht="80.15" customHeight="1" spans="2:20">
      <c r="B95" s="75">
        <v>74</v>
      </c>
      <c r="C95" s="40" t="s">
        <v>313</v>
      </c>
      <c r="D95" s="40" t="s">
        <v>304</v>
      </c>
      <c r="E95" s="80"/>
      <c r="F95" s="40" t="s">
        <v>314</v>
      </c>
      <c r="G95" s="40" t="s">
        <v>23</v>
      </c>
      <c r="H95" s="82" t="s">
        <v>306</v>
      </c>
      <c r="I95" s="40" t="s">
        <v>291</v>
      </c>
      <c r="J95" s="40" t="s">
        <v>257</v>
      </c>
      <c r="K95" s="83">
        <f t="shared" si="6"/>
        <v>0</v>
      </c>
      <c r="L95" s="84"/>
      <c r="M95" s="46">
        <v>0.22</v>
      </c>
      <c r="N95" s="26" t="s">
        <v>27</v>
      </c>
      <c r="O95" s="28" t="s">
        <v>315</v>
      </c>
      <c r="P95" s="27" t="s">
        <v>29</v>
      </c>
      <c r="Q95" s="47"/>
      <c r="R95" s="47"/>
      <c r="S95" s="47"/>
      <c r="T95" s="47"/>
    </row>
    <row r="96" ht="80.15" customHeight="1" spans="2:20">
      <c r="B96" s="17">
        <v>75</v>
      </c>
      <c r="C96" s="18" t="s">
        <v>316</v>
      </c>
      <c r="D96" s="18" t="s">
        <v>304</v>
      </c>
      <c r="E96" s="19"/>
      <c r="F96" s="18" t="s">
        <v>317</v>
      </c>
      <c r="G96" s="18" t="s">
        <v>23</v>
      </c>
      <c r="H96" s="32" t="s">
        <v>306</v>
      </c>
      <c r="I96" s="18" t="s">
        <v>291</v>
      </c>
      <c r="J96" s="18" t="s">
        <v>257</v>
      </c>
      <c r="K96" s="85">
        <f t="shared" si="6"/>
        <v>24960</v>
      </c>
      <c r="L96" s="86">
        <v>32000</v>
      </c>
      <c r="M96" s="25">
        <v>0.22</v>
      </c>
      <c r="N96" s="26" t="s">
        <v>27</v>
      </c>
      <c r="O96" s="28" t="s">
        <v>318</v>
      </c>
      <c r="P96" s="27" t="s">
        <v>29</v>
      </c>
    </row>
    <row r="97" s="1" customFormat="1" ht="80.15" customHeight="1" spans="2:20">
      <c r="B97" s="75">
        <v>76</v>
      </c>
      <c r="C97" s="40" t="s">
        <v>319</v>
      </c>
      <c r="D97" s="40" t="s">
        <v>304</v>
      </c>
      <c r="E97" s="80"/>
      <c r="F97" s="40" t="s">
        <v>320</v>
      </c>
      <c r="G97" s="40" t="s">
        <v>23</v>
      </c>
      <c r="H97" s="82" t="s">
        <v>306</v>
      </c>
      <c r="I97" s="40" t="s">
        <v>291</v>
      </c>
      <c r="J97" s="40" t="s">
        <v>257</v>
      </c>
      <c r="K97" s="83">
        <f t="shared" si="6"/>
        <v>0</v>
      </c>
      <c r="L97" s="84"/>
      <c r="M97" s="46">
        <v>0.22</v>
      </c>
      <c r="N97" s="26" t="s">
        <v>27</v>
      </c>
      <c r="O97" s="28" t="s">
        <v>321</v>
      </c>
      <c r="P97" s="27" t="s">
        <v>29</v>
      </c>
      <c r="Q97" s="47"/>
      <c r="R97" s="47"/>
      <c r="S97" s="47"/>
      <c r="T97" s="47"/>
    </row>
    <row r="98" s="1" customFormat="1" ht="80.15" customHeight="1" spans="2:20">
      <c r="B98" s="75">
        <v>77</v>
      </c>
      <c r="C98" s="40" t="s">
        <v>322</v>
      </c>
      <c r="D98" s="40" t="s">
        <v>304</v>
      </c>
      <c r="E98" s="80"/>
      <c r="F98" s="40" t="s">
        <v>317</v>
      </c>
      <c r="G98" s="40" t="s">
        <v>23</v>
      </c>
      <c r="H98" s="82" t="s">
        <v>306</v>
      </c>
      <c r="I98" s="40" t="s">
        <v>291</v>
      </c>
      <c r="J98" s="40" t="s">
        <v>257</v>
      </c>
      <c r="K98" s="83">
        <f t="shared" si="6"/>
        <v>0</v>
      </c>
      <c r="L98" s="84"/>
      <c r="M98" s="46">
        <v>0.22</v>
      </c>
      <c r="N98" s="26" t="s">
        <v>27</v>
      </c>
      <c r="O98" s="28" t="s">
        <v>323</v>
      </c>
      <c r="P98" s="27" t="s">
        <v>29</v>
      </c>
      <c r="Q98" s="47"/>
      <c r="R98" s="47"/>
      <c r="S98" s="47"/>
      <c r="T98" s="47"/>
    </row>
    <row r="99" s="1" customFormat="1" ht="80.15" customHeight="1" spans="2:20">
      <c r="B99" s="75">
        <v>78</v>
      </c>
      <c r="C99" s="40" t="s">
        <v>324</v>
      </c>
      <c r="D99" s="40" t="s">
        <v>304</v>
      </c>
      <c r="E99" s="80"/>
      <c r="F99" s="40" t="s">
        <v>325</v>
      </c>
      <c r="G99" s="40" t="s">
        <v>23</v>
      </c>
      <c r="H99" s="82" t="s">
        <v>306</v>
      </c>
      <c r="I99" s="40" t="s">
        <v>291</v>
      </c>
      <c r="J99" s="40" t="s">
        <v>257</v>
      </c>
      <c r="K99" s="83">
        <f t="shared" si="6"/>
        <v>0</v>
      </c>
      <c r="L99" s="84"/>
      <c r="M99" s="46">
        <v>0.22</v>
      </c>
      <c r="N99" s="26" t="s">
        <v>27</v>
      </c>
      <c r="O99" s="28" t="s">
        <v>326</v>
      </c>
      <c r="P99" s="27" t="s">
        <v>29</v>
      </c>
      <c r="Q99" s="47"/>
      <c r="R99" s="47"/>
      <c r="S99" s="47"/>
      <c r="T99" s="47"/>
    </row>
    <row r="100" s="1" customFormat="1" ht="80.15" customHeight="1" spans="2:20">
      <c r="B100" s="75">
        <v>79</v>
      </c>
      <c r="C100" s="40" t="s">
        <v>324</v>
      </c>
      <c r="D100" s="40" t="s">
        <v>304</v>
      </c>
      <c r="E100" s="80"/>
      <c r="F100" s="40" t="s">
        <v>327</v>
      </c>
      <c r="G100" s="40" t="s">
        <v>23</v>
      </c>
      <c r="H100" s="82" t="s">
        <v>306</v>
      </c>
      <c r="I100" s="40" t="s">
        <v>291</v>
      </c>
      <c r="J100" s="40" t="s">
        <v>257</v>
      </c>
      <c r="K100" s="83">
        <f t="shared" si="6"/>
        <v>0</v>
      </c>
      <c r="L100" s="84"/>
      <c r="M100" s="46">
        <v>0.22</v>
      </c>
      <c r="N100" s="26" t="s">
        <v>27</v>
      </c>
      <c r="O100" s="28" t="s">
        <v>328</v>
      </c>
      <c r="P100" s="27" t="s">
        <v>29</v>
      </c>
      <c r="Q100" s="47"/>
      <c r="R100" s="47"/>
      <c r="S100" s="47"/>
      <c r="T100" s="47"/>
    </row>
    <row r="101" ht="80.15" customHeight="1" spans="2:20">
      <c r="B101" s="17">
        <v>80</v>
      </c>
      <c r="C101" s="18" t="s">
        <v>329</v>
      </c>
      <c r="D101" s="18" t="s">
        <v>304</v>
      </c>
      <c r="E101" s="19"/>
      <c r="F101" s="18" t="s">
        <v>330</v>
      </c>
      <c r="G101" s="18" t="s">
        <v>23</v>
      </c>
      <c r="H101" s="32" t="s">
        <v>306</v>
      </c>
      <c r="I101" s="18" t="s">
        <v>291</v>
      </c>
      <c r="J101" s="18" t="s">
        <v>257</v>
      </c>
      <c r="K101" s="85">
        <f t="shared" si="6"/>
        <v>29640</v>
      </c>
      <c r="L101" s="86">
        <v>38000</v>
      </c>
      <c r="M101" s="25">
        <v>0.22</v>
      </c>
      <c r="N101" s="26" t="s">
        <v>27</v>
      </c>
      <c r="O101" s="28" t="s">
        <v>331</v>
      </c>
      <c r="P101" s="27" t="s">
        <v>29</v>
      </c>
    </row>
    <row r="102" ht="80.15" customHeight="1" spans="2:20">
      <c r="B102" s="17">
        <v>81</v>
      </c>
      <c r="C102" s="18" t="s">
        <v>332</v>
      </c>
      <c r="D102" s="18" t="s">
        <v>304</v>
      </c>
      <c r="E102" s="19"/>
      <c r="F102" s="18" t="s">
        <v>333</v>
      </c>
      <c r="G102" s="18" t="s">
        <v>334</v>
      </c>
      <c r="H102" s="32" t="s">
        <v>306</v>
      </c>
      <c r="I102" s="18" t="s">
        <v>291</v>
      </c>
      <c r="J102" s="18" t="s">
        <v>257</v>
      </c>
      <c r="K102" s="85">
        <f t="shared" si="6"/>
        <v>17706</v>
      </c>
      <c r="L102" s="86">
        <v>22700</v>
      </c>
      <c r="M102" s="25">
        <v>0.22</v>
      </c>
      <c r="N102" s="26" t="s">
        <v>27</v>
      </c>
      <c r="O102" s="28" t="s">
        <v>335</v>
      </c>
      <c r="P102" s="27" t="s">
        <v>29</v>
      </c>
    </row>
    <row r="103" ht="80.15" customHeight="1" spans="2:20">
      <c r="B103" s="17">
        <v>82</v>
      </c>
      <c r="C103" s="18" t="s">
        <v>336</v>
      </c>
      <c r="D103" s="18" t="s">
        <v>304</v>
      </c>
      <c r="E103" s="19"/>
      <c r="F103" s="18" t="s">
        <v>337</v>
      </c>
      <c r="G103" s="18" t="s">
        <v>23</v>
      </c>
      <c r="H103" s="32" t="s">
        <v>306</v>
      </c>
      <c r="I103" s="18" t="s">
        <v>291</v>
      </c>
      <c r="J103" s="18" t="s">
        <v>257</v>
      </c>
      <c r="K103" s="85">
        <f t="shared" si="6"/>
        <v>17550</v>
      </c>
      <c r="L103" s="86">
        <v>22500</v>
      </c>
      <c r="M103" s="25">
        <v>0.22</v>
      </c>
      <c r="N103" s="26" t="s">
        <v>27</v>
      </c>
      <c r="O103" s="28" t="s">
        <v>338</v>
      </c>
      <c r="P103" s="27" t="s">
        <v>29</v>
      </c>
    </row>
    <row r="104" ht="80.15" customHeight="1" spans="2:20">
      <c r="B104" s="17">
        <v>83</v>
      </c>
      <c r="C104" s="18" t="s">
        <v>339</v>
      </c>
      <c r="D104" s="18" t="s">
        <v>304</v>
      </c>
      <c r="E104" s="19"/>
      <c r="F104" s="18" t="s">
        <v>327</v>
      </c>
      <c r="G104" s="18" t="s">
        <v>23</v>
      </c>
      <c r="H104" s="32" t="s">
        <v>306</v>
      </c>
      <c r="I104" s="18" t="s">
        <v>291</v>
      </c>
      <c r="J104" s="18" t="s">
        <v>257</v>
      </c>
      <c r="K104" s="85">
        <f t="shared" si="6"/>
        <v>12090</v>
      </c>
      <c r="L104" s="86">
        <v>15500</v>
      </c>
      <c r="M104" s="25">
        <v>0.22</v>
      </c>
      <c r="N104" s="26" t="s">
        <v>27</v>
      </c>
      <c r="O104" s="28" t="s">
        <v>340</v>
      </c>
      <c r="P104" s="27" t="s">
        <v>29</v>
      </c>
    </row>
    <row r="105" ht="80.15" customHeight="1" spans="2:20">
      <c r="B105" s="17">
        <v>84</v>
      </c>
      <c r="C105" s="18" t="s">
        <v>341</v>
      </c>
      <c r="D105" s="18" t="s">
        <v>304</v>
      </c>
      <c r="E105" s="19"/>
      <c r="F105" s="18" t="s">
        <v>342</v>
      </c>
      <c r="G105" s="18" t="s">
        <v>23</v>
      </c>
      <c r="H105" s="32" t="s">
        <v>306</v>
      </c>
      <c r="I105" s="18" t="s">
        <v>291</v>
      </c>
      <c r="J105" s="18" t="s">
        <v>257</v>
      </c>
      <c r="K105" s="85">
        <f t="shared" si="6"/>
        <v>11700</v>
      </c>
      <c r="L105" s="86">
        <v>15000</v>
      </c>
      <c r="M105" s="25">
        <v>0.22</v>
      </c>
      <c r="N105" s="26" t="s">
        <v>27</v>
      </c>
      <c r="O105" s="28" t="s">
        <v>343</v>
      </c>
      <c r="P105" s="27" t="s">
        <v>29</v>
      </c>
    </row>
    <row r="106" s="1" customFormat="1" ht="80.15" customHeight="1" spans="2:20">
      <c r="B106" s="75">
        <v>85</v>
      </c>
      <c r="C106" s="40" t="s">
        <v>344</v>
      </c>
      <c r="D106" s="40" t="s">
        <v>304</v>
      </c>
      <c r="E106" s="80"/>
      <c r="F106" s="40" t="s">
        <v>345</v>
      </c>
      <c r="G106" s="40" t="s">
        <v>23</v>
      </c>
      <c r="H106" s="82" t="s">
        <v>306</v>
      </c>
      <c r="I106" s="40" t="s">
        <v>291</v>
      </c>
      <c r="J106" s="40" t="s">
        <v>257</v>
      </c>
      <c r="K106" s="83">
        <f t="shared" si="6"/>
        <v>0</v>
      </c>
      <c r="L106" s="84"/>
      <c r="M106" s="46">
        <v>0.22</v>
      </c>
      <c r="N106" s="26" t="s">
        <v>27</v>
      </c>
      <c r="O106" s="28" t="s">
        <v>346</v>
      </c>
      <c r="P106" s="27" t="s">
        <v>29</v>
      </c>
      <c r="Q106" s="47"/>
      <c r="R106" s="47"/>
      <c r="S106" s="47"/>
      <c r="T106" s="47"/>
    </row>
    <row r="107" s="1" customFormat="1" ht="80.15" customHeight="1" spans="2:20">
      <c r="B107" s="75">
        <v>86</v>
      </c>
      <c r="C107" s="40" t="s">
        <v>347</v>
      </c>
      <c r="D107" s="40" t="s">
        <v>304</v>
      </c>
      <c r="E107" s="80"/>
      <c r="F107" s="40" t="s">
        <v>345</v>
      </c>
      <c r="G107" s="40" t="s">
        <v>23</v>
      </c>
      <c r="H107" s="82" t="s">
        <v>306</v>
      </c>
      <c r="I107" s="40" t="s">
        <v>291</v>
      </c>
      <c r="J107" s="40" t="s">
        <v>257</v>
      </c>
      <c r="K107" s="83">
        <f t="shared" si="6"/>
        <v>0</v>
      </c>
      <c r="L107" s="84"/>
      <c r="M107" s="46">
        <v>0.22</v>
      </c>
      <c r="N107" s="26" t="s">
        <v>27</v>
      </c>
      <c r="O107" s="28" t="s">
        <v>348</v>
      </c>
      <c r="P107" s="27" t="s">
        <v>29</v>
      </c>
      <c r="Q107" s="47"/>
      <c r="R107" s="47"/>
      <c r="S107" s="47"/>
      <c r="T107" s="47"/>
    </row>
    <row r="108" s="1" customFormat="1" ht="80.15" customHeight="1" spans="2:20">
      <c r="B108" s="75">
        <v>87</v>
      </c>
      <c r="C108" s="40" t="s">
        <v>349</v>
      </c>
      <c r="D108" s="40" t="s">
        <v>304</v>
      </c>
      <c r="E108" s="80"/>
      <c r="F108" s="40" t="s">
        <v>345</v>
      </c>
      <c r="G108" s="40" t="s">
        <v>23</v>
      </c>
      <c r="H108" s="82" t="s">
        <v>306</v>
      </c>
      <c r="I108" s="40" t="s">
        <v>291</v>
      </c>
      <c r="J108" s="40" t="s">
        <v>257</v>
      </c>
      <c r="K108" s="83">
        <f t="shared" si="6"/>
        <v>0</v>
      </c>
      <c r="L108" s="84"/>
      <c r="M108" s="46">
        <v>0.22</v>
      </c>
      <c r="N108" s="26" t="s">
        <v>27</v>
      </c>
      <c r="O108" s="28" t="s">
        <v>350</v>
      </c>
      <c r="P108" s="27" t="s">
        <v>29</v>
      </c>
      <c r="Q108" s="47"/>
      <c r="R108" s="47"/>
      <c r="S108" s="47"/>
      <c r="T108" s="47"/>
    </row>
    <row r="109" ht="80.15" customHeight="1" spans="2:20">
      <c r="B109" s="17">
        <v>88</v>
      </c>
      <c r="C109" s="18" t="s">
        <v>351</v>
      </c>
      <c r="D109" s="18" t="s">
        <v>304</v>
      </c>
      <c r="E109" s="19"/>
      <c r="F109" s="18" t="s">
        <v>352</v>
      </c>
      <c r="G109" s="18" t="s">
        <v>23</v>
      </c>
      <c r="H109" s="32" t="s">
        <v>306</v>
      </c>
      <c r="I109" s="18" t="s">
        <v>291</v>
      </c>
      <c r="J109" s="18" t="s">
        <v>42</v>
      </c>
      <c r="K109" s="85">
        <f t="shared" si="6"/>
        <v>11310</v>
      </c>
      <c r="L109" s="86">
        <v>14500</v>
      </c>
      <c r="M109" s="25">
        <v>0.22</v>
      </c>
      <c r="N109" s="26" t="s">
        <v>27</v>
      </c>
      <c r="O109" s="28" t="s">
        <v>353</v>
      </c>
      <c r="P109" s="27" t="s">
        <v>29</v>
      </c>
    </row>
    <row r="110" ht="80.15" customHeight="1" spans="2:20">
      <c r="B110" s="17">
        <v>89</v>
      </c>
      <c r="C110" s="18" t="s">
        <v>354</v>
      </c>
      <c r="D110" s="18" t="s">
        <v>304</v>
      </c>
      <c r="E110" s="19"/>
      <c r="F110" s="18" t="s">
        <v>355</v>
      </c>
      <c r="G110" s="18" t="s">
        <v>23</v>
      </c>
      <c r="H110" s="32" t="s">
        <v>306</v>
      </c>
      <c r="I110" s="18" t="s">
        <v>291</v>
      </c>
      <c r="J110" s="18" t="s">
        <v>42</v>
      </c>
      <c r="K110" s="85">
        <f t="shared" si="6"/>
        <v>13650</v>
      </c>
      <c r="L110" s="86">
        <v>17500</v>
      </c>
      <c r="M110" s="25">
        <v>0.22</v>
      </c>
      <c r="N110" s="26" t="s">
        <v>27</v>
      </c>
      <c r="O110" s="28" t="s">
        <v>356</v>
      </c>
      <c r="P110" s="27" t="s">
        <v>29</v>
      </c>
    </row>
    <row r="111" ht="80.15" customHeight="1" spans="2:20">
      <c r="B111" s="17">
        <v>90</v>
      </c>
      <c r="C111" s="18" t="s">
        <v>357</v>
      </c>
      <c r="D111" s="18" t="s">
        <v>304</v>
      </c>
      <c r="E111" s="19"/>
      <c r="F111" s="18" t="s">
        <v>352</v>
      </c>
      <c r="G111" s="18" t="s">
        <v>23</v>
      </c>
      <c r="H111" s="32" t="s">
        <v>306</v>
      </c>
      <c r="I111" s="18" t="s">
        <v>291</v>
      </c>
      <c r="J111" s="18" t="s">
        <v>42</v>
      </c>
      <c r="K111" s="85">
        <f t="shared" si="6"/>
        <v>12558</v>
      </c>
      <c r="L111" s="86">
        <v>16100</v>
      </c>
      <c r="M111" s="25">
        <v>0.22</v>
      </c>
      <c r="N111" s="26" t="s">
        <v>27</v>
      </c>
      <c r="O111" s="28" t="s">
        <v>358</v>
      </c>
      <c r="P111" s="27" t="s">
        <v>29</v>
      </c>
    </row>
    <row r="112" ht="50.15" customHeight="1" spans="2:20">
      <c r="B112" s="29" t="s">
        <v>359</v>
      </c>
      <c r="C112" s="30"/>
      <c r="D112" s="30"/>
      <c r="E112" s="30"/>
      <c r="F112" s="30"/>
      <c r="G112" s="30"/>
      <c r="H112" s="30"/>
      <c r="I112" s="30"/>
      <c r="J112" s="30"/>
      <c r="K112" s="30"/>
      <c r="L112" s="30"/>
      <c r="M112" s="31"/>
      <c r="N112" s="26" t="s">
        <v>27</v>
      </c>
      <c r="O112" s="28" t="s">
        <v>360</v>
      </c>
      <c r="P112" s="27" t="s">
        <v>29</v>
      </c>
    </row>
    <row r="113" ht="90" customHeight="1" spans="2:20">
      <c r="B113" s="17">
        <v>91</v>
      </c>
      <c r="C113" s="18" t="s">
        <v>361</v>
      </c>
      <c r="D113" s="18" t="s">
        <v>362</v>
      </c>
      <c r="E113" s="19"/>
      <c r="F113" s="87" t="s">
        <v>363</v>
      </c>
      <c r="G113" s="18" t="s">
        <v>23</v>
      </c>
      <c r="H113" s="32" t="s">
        <v>306</v>
      </c>
      <c r="I113" s="18" t="s">
        <v>291</v>
      </c>
      <c r="J113" s="18" t="s">
        <v>364</v>
      </c>
      <c r="K113" s="85">
        <f t="shared" ref="K113:K130" si="7">L113*(1-22%)</f>
        <v>25896</v>
      </c>
      <c r="L113" s="86">
        <v>33200</v>
      </c>
      <c r="M113" s="25">
        <v>0.22</v>
      </c>
      <c r="N113" s="26" t="s">
        <v>27</v>
      </c>
      <c r="O113" s="28" t="s">
        <v>365</v>
      </c>
      <c r="P113" s="27" t="s">
        <v>29</v>
      </c>
    </row>
    <row r="114" ht="90" customHeight="1" spans="2:20">
      <c r="B114" s="17">
        <v>92</v>
      </c>
      <c r="C114" s="18" t="s">
        <v>366</v>
      </c>
      <c r="D114" s="18" t="s">
        <v>362</v>
      </c>
      <c r="E114" s="19"/>
      <c r="F114" s="87" t="s">
        <v>367</v>
      </c>
      <c r="G114" s="18" t="s">
        <v>23</v>
      </c>
      <c r="H114" s="32" t="s">
        <v>306</v>
      </c>
      <c r="I114" s="18" t="s">
        <v>291</v>
      </c>
      <c r="J114" s="18" t="s">
        <v>364</v>
      </c>
      <c r="K114" s="85">
        <f t="shared" si="7"/>
        <v>17316</v>
      </c>
      <c r="L114" s="86">
        <v>22200</v>
      </c>
      <c r="M114" s="25">
        <v>0.22</v>
      </c>
      <c r="N114" s="26" t="s">
        <v>27</v>
      </c>
      <c r="O114" s="28" t="s">
        <v>368</v>
      </c>
      <c r="P114" s="27" t="s">
        <v>29</v>
      </c>
    </row>
    <row r="115" ht="90" customHeight="1" spans="2:20">
      <c r="B115" s="17">
        <v>93</v>
      </c>
      <c r="C115" s="18" t="s">
        <v>369</v>
      </c>
      <c r="D115" s="18" t="s">
        <v>362</v>
      </c>
      <c r="E115" s="19"/>
      <c r="F115" s="87" t="s">
        <v>370</v>
      </c>
      <c r="G115" s="18" t="s">
        <v>23</v>
      </c>
      <c r="H115" s="32" t="s">
        <v>306</v>
      </c>
      <c r="I115" s="18" t="s">
        <v>291</v>
      </c>
      <c r="J115" s="18" t="s">
        <v>364</v>
      </c>
      <c r="K115" s="85">
        <f t="shared" si="7"/>
        <v>17160</v>
      </c>
      <c r="L115" s="86">
        <v>22000</v>
      </c>
      <c r="M115" s="25">
        <v>0.22</v>
      </c>
      <c r="N115" s="26" t="s">
        <v>27</v>
      </c>
      <c r="O115" s="28" t="s">
        <v>371</v>
      </c>
      <c r="P115" s="27" t="s">
        <v>29</v>
      </c>
    </row>
    <row r="116" ht="90" customHeight="1" spans="2:20">
      <c r="B116" s="17">
        <v>94</v>
      </c>
      <c r="C116" s="18" t="s">
        <v>372</v>
      </c>
      <c r="D116" s="18" t="s">
        <v>362</v>
      </c>
      <c r="E116" s="19"/>
      <c r="F116" s="87" t="s">
        <v>373</v>
      </c>
      <c r="G116" s="18" t="s">
        <v>23</v>
      </c>
      <c r="H116" s="32" t="s">
        <v>306</v>
      </c>
      <c r="I116" s="18" t="s">
        <v>291</v>
      </c>
      <c r="J116" s="18" t="s">
        <v>364</v>
      </c>
      <c r="K116" s="85">
        <f t="shared" si="7"/>
        <v>14196</v>
      </c>
      <c r="L116" s="86">
        <v>18200</v>
      </c>
      <c r="M116" s="25">
        <v>0.22</v>
      </c>
      <c r="N116" s="26" t="s">
        <v>27</v>
      </c>
      <c r="O116" s="28" t="s">
        <v>374</v>
      </c>
      <c r="P116" s="27" t="s">
        <v>29</v>
      </c>
    </row>
    <row r="117" ht="90" customHeight="1" spans="2:20">
      <c r="B117" s="17">
        <v>95</v>
      </c>
      <c r="C117" s="18" t="s">
        <v>375</v>
      </c>
      <c r="D117" s="18" t="s">
        <v>362</v>
      </c>
      <c r="E117" s="19"/>
      <c r="F117" s="87" t="s">
        <v>376</v>
      </c>
      <c r="G117" s="18" t="s">
        <v>23</v>
      </c>
      <c r="H117" s="32" t="s">
        <v>306</v>
      </c>
      <c r="I117" s="18" t="s">
        <v>291</v>
      </c>
      <c r="J117" s="18" t="s">
        <v>364</v>
      </c>
      <c r="K117" s="85">
        <f t="shared" si="7"/>
        <v>15756</v>
      </c>
      <c r="L117" s="86">
        <v>20200</v>
      </c>
      <c r="M117" s="25">
        <v>0.22</v>
      </c>
      <c r="N117" s="26" t="s">
        <v>27</v>
      </c>
      <c r="O117" s="28" t="s">
        <v>377</v>
      </c>
      <c r="P117" s="27" t="s">
        <v>29</v>
      </c>
    </row>
    <row r="118" ht="90" customHeight="1" spans="2:20">
      <c r="B118" s="17">
        <v>96</v>
      </c>
      <c r="C118" s="18" t="s">
        <v>378</v>
      </c>
      <c r="D118" s="18" t="s">
        <v>362</v>
      </c>
      <c r="E118" s="19"/>
      <c r="F118" s="87" t="s">
        <v>379</v>
      </c>
      <c r="G118" s="18" t="s">
        <v>23</v>
      </c>
      <c r="H118" s="32" t="s">
        <v>306</v>
      </c>
      <c r="I118" s="18" t="s">
        <v>291</v>
      </c>
      <c r="J118" s="18" t="s">
        <v>364</v>
      </c>
      <c r="K118" s="85">
        <f t="shared" si="7"/>
        <v>12636</v>
      </c>
      <c r="L118" s="86">
        <v>16200</v>
      </c>
      <c r="M118" s="25">
        <v>0.22</v>
      </c>
      <c r="N118" s="26" t="s">
        <v>27</v>
      </c>
      <c r="O118" s="28" t="s">
        <v>380</v>
      </c>
      <c r="P118" s="27" t="s">
        <v>29</v>
      </c>
    </row>
    <row r="119" s="1" customFormat="1" ht="90" customHeight="1" spans="2:20">
      <c r="B119" s="75">
        <v>97</v>
      </c>
      <c r="C119" s="40" t="s">
        <v>381</v>
      </c>
      <c r="D119" s="40" t="s">
        <v>362</v>
      </c>
      <c r="E119" s="80"/>
      <c r="F119" s="88" t="s">
        <v>382</v>
      </c>
      <c r="G119" s="40" t="s">
        <v>23</v>
      </c>
      <c r="H119" s="82" t="s">
        <v>306</v>
      </c>
      <c r="I119" s="40" t="s">
        <v>291</v>
      </c>
      <c r="J119" s="40" t="s">
        <v>364</v>
      </c>
      <c r="K119" s="83">
        <f t="shared" si="7"/>
        <v>0</v>
      </c>
      <c r="L119" s="84"/>
      <c r="M119" s="46">
        <v>0.22</v>
      </c>
      <c r="N119" s="26" t="s">
        <v>27</v>
      </c>
      <c r="O119" s="28" t="s">
        <v>383</v>
      </c>
      <c r="P119" s="27" t="s">
        <v>29</v>
      </c>
      <c r="Q119" s="47"/>
      <c r="R119" s="47"/>
      <c r="S119" s="47"/>
      <c r="T119" s="47"/>
    </row>
    <row r="120" s="1" customFormat="1" ht="90" customHeight="1" spans="2:20">
      <c r="B120" s="75">
        <v>98</v>
      </c>
      <c r="C120" s="40" t="s">
        <v>384</v>
      </c>
      <c r="D120" s="40" t="s">
        <v>362</v>
      </c>
      <c r="E120" s="80"/>
      <c r="F120" s="88" t="s">
        <v>382</v>
      </c>
      <c r="G120" s="40" t="s">
        <v>23</v>
      </c>
      <c r="H120" s="82" t="s">
        <v>306</v>
      </c>
      <c r="I120" s="40" t="s">
        <v>291</v>
      </c>
      <c r="J120" s="40" t="s">
        <v>364</v>
      </c>
      <c r="K120" s="83">
        <f t="shared" si="7"/>
        <v>0</v>
      </c>
      <c r="L120" s="84"/>
      <c r="M120" s="46">
        <v>0.22</v>
      </c>
      <c r="N120" s="26" t="s">
        <v>27</v>
      </c>
      <c r="O120" s="28" t="s">
        <v>385</v>
      </c>
      <c r="P120" s="27" t="s">
        <v>29</v>
      </c>
      <c r="Q120" s="47"/>
      <c r="R120" s="47"/>
      <c r="S120" s="47"/>
      <c r="T120" s="47"/>
    </row>
    <row r="121" s="1" customFormat="1" ht="90" customHeight="1" spans="2:20">
      <c r="B121" s="75">
        <v>99</v>
      </c>
      <c r="C121" s="40" t="s">
        <v>386</v>
      </c>
      <c r="D121" s="40" t="s">
        <v>362</v>
      </c>
      <c r="E121" s="80"/>
      <c r="F121" s="88" t="s">
        <v>387</v>
      </c>
      <c r="G121" s="40" t="s">
        <v>23</v>
      </c>
      <c r="H121" s="82" t="s">
        <v>306</v>
      </c>
      <c r="I121" s="40" t="s">
        <v>291</v>
      </c>
      <c r="J121" s="40" t="s">
        <v>364</v>
      </c>
      <c r="K121" s="83">
        <f t="shared" si="7"/>
        <v>0</v>
      </c>
      <c r="L121" s="84"/>
      <c r="M121" s="46">
        <v>0.22</v>
      </c>
      <c r="N121" s="26" t="s">
        <v>27</v>
      </c>
      <c r="O121" s="28" t="s">
        <v>388</v>
      </c>
      <c r="P121" s="27" t="s">
        <v>29</v>
      </c>
      <c r="Q121" s="47"/>
      <c r="R121" s="47"/>
      <c r="S121" s="47"/>
      <c r="T121" s="47"/>
    </row>
    <row r="122" s="1" customFormat="1" ht="90" customHeight="1" spans="2:20">
      <c r="B122" s="75">
        <v>100</v>
      </c>
      <c r="C122" s="40" t="s">
        <v>389</v>
      </c>
      <c r="D122" s="40" t="s">
        <v>362</v>
      </c>
      <c r="E122" s="80"/>
      <c r="F122" s="88" t="s">
        <v>390</v>
      </c>
      <c r="G122" s="40" t="s">
        <v>23</v>
      </c>
      <c r="H122" s="82" t="s">
        <v>306</v>
      </c>
      <c r="I122" s="40" t="s">
        <v>291</v>
      </c>
      <c r="J122" s="40" t="s">
        <v>364</v>
      </c>
      <c r="K122" s="83">
        <f t="shared" si="7"/>
        <v>0</v>
      </c>
      <c r="L122" s="84"/>
      <c r="M122" s="46">
        <v>0.22</v>
      </c>
      <c r="N122" s="26" t="s">
        <v>27</v>
      </c>
      <c r="O122" s="28" t="s">
        <v>391</v>
      </c>
      <c r="P122" s="27" t="s">
        <v>29</v>
      </c>
      <c r="Q122" s="47"/>
      <c r="R122" s="47"/>
      <c r="S122" s="47"/>
      <c r="T122" s="47"/>
    </row>
    <row r="123" ht="90" customHeight="1" spans="2:20">
      <c r="B123" s="17">
        <v>101</v>
      </c>
      <c r="C123" s="18" t="s">
        <v>392</v>
      </c>
      <c r="D123" s="18" t="s">
        <v>362</v>
      </c>
      <c r="E123" s="19"/>
      <c r="F123" s="87" t="s">
        <v>393</v>
      </c>
      <c r="G123" s="18" t="s">
        <v>23</v>
      </c>
      <c r="H123" s="32" t="s">
        <v>306</v>
      </c>
      <c r="I123" s="18" t="s">
        <v>291</v>
      </c>
      <c r="J123" s="18" t="s">
        <v>364</v>
      </c>
      <c r="K123" s="85">
        <f t="shared" si="7"/>
        <v>6162</v>
      </c>
      <c r="L123" s="86">
        <v>7900</v>
      </c>
      <c r="M123" s="25">
        <v>0.22</v>
      </c>
      <c r="N123" s="26" t="s">
        <v>27</v>
      </c>
      <c r="O123" s="28" t="s">
        <v>394</v>
      </c>
      <c r="P123" s="27" t="s">
        <v>29</v>
      </c>
    </row>
    <row r="124" s="1" customFormat="1" ht="90" customHeight="1" spans="2:20">
      <c r="B124" s="75">
        <v>102</v>
      </c>
      <c r="C124" s="40" t="s">
        <v>395</v>
      </c>
      <c r="D124" s="40" t="s">
        <v>362</v>
      </c>
      <c r="E124" s="80"/>
      <c r="F124" s="88" t="s">
        <v>396</v>
      </c>
      <c r="G124" s="40" t="s">
        <v>23</v>
      </c>
      <c r="H124" s="82" t="s">
        <v>306</v>
      </c>
      <c r="I124" s="40" t="s">
        <v>291</v>
      </c>
      <c r="J124" s="40" t="s">
        <v>364</v>
      </c>
      <c r="K124" s="83">
        <f t="shared" si="7"/>
        <v>0</v>
      </c>
      <c r="L124" s="84"/>
      <c r="M124" s="46">
        <v>0.22</v>
      </c>
      <c r="N124" s="26" t="s">
        <v>27</v>
      </c>
      <c r="O124" s="28" t="s">
        <v>397</v>
      </c>
      <c r="P124" s="27" t="s">
        <v>29</v>
      </c>
      <c r="Q124" s="47"/>
      <c r="R124" s="47"/>
      <c r="S124" s="47"/>
      <c r="T124" s="47"/>
    </row>
    <row r="125" s="1" customFormat="1" ht="90" customHeight="1" spans="2:20">
      <c r="B125" s="75">
        <v>103</v>
      </c>
      <c r="C125" s="40" t="s">
        <v>398</v>
      </c>
      <c r="D125" s="40" t="s">
        <v>362</v>
      </c>
      <c r="E125" s="80"/>
      <c r="F125" s="88" t="s">
        <v>399</v>
      </c>
      <c r="G125" s="40" t="s">
        <v>23</v>
      </c>
      <c r="H125" s="82" t="s">
        <v>306</v>
      </c>
      <c r="I125" s="40" t="s">
        <v>291</v>
      </c>
      <c r="J125" s="40" t="s">
        <v>364</v>
      </c>
      <c r="K125" s="83">
        <f t="shared" si="7"/>
        <v>0</v>
      </c>
      <c r="L125" s="84"/>
      <c r="M125" s="46">
        <v>0.22</v>
      </c>
      <c r="N125" s="26" t="s">
        <v>27</v>
      </c>
      <c r="O125" s="28" t="s">
        <v>400</v>
      </c>
      <c r="P125" s="27" t="s">
        <v>29</v>
      </c>
      <c r="Q125" s="47"/>
      <c r="R125" s="47"/>
      <c r="S125" s="47"/>
      <c r="T125" s="47"/>
    </row>
    <row r="126" s="1" customFormat="1" ht="90" customHeight="1" spans="2:20">
      <c r="B126" s="75">
        <v>104</v>
      </c>
      <c r="C126" s="40" t="s">
        <v>401</v>
      </c>
      <c r="D126" s="40" t="s">
        <v>362</v>
      </c>
      <c r="E126" s="80"/>
      <c r="F126" s="88" t="s">
        <v>402</v>
      </c>
      <c r="G126" s="40" t="s">
        <v>23</v>
      </c>
      <c r="H126" s="82" t="s">
        <v>306</v>
      </c>
      <c r="I126" s="40" t="s">
        <v>291</v>
      </c>
      <c r="J126" s="40" t="s">
        <v>364</v>
      </c>
      <c r="K126" s="83">
        <f t="shared" si="7"/>
        <v>0</v>
      </c>
      <c r="L126" s="84"/>
      <c r="M126" s="46">
        <v>0.22</v>
      </c>
      <c r="N126" s="26" t="s">
        <v>27</v>
      </c>
      <c r="O126" s="28" t="s">
        <v>403</v>
      </c>
      <c r="P126" s="27" t="s">
        <v>29</v>
      </c>
      <c r="Q126" s="47"/>
      <c r="R126" s="47"/>
      <c r="S126" s="47"/>
      <c r="T126" s="47"/>
    </row>
    <row r="127" ht="90" customHeight="1" spans="2:20">
      <c r="B127" s="17">
        <v>105</v>
      </c>
      <c r="C127" s="18" t="s">
        <v>404</v>
      </c>
      <c r="D127" s="18" t="s">
        <v>362</v>
      </c>
      <c r="E127" s="19"/>
      <c r="F127" s="87" t="s">
        <v>396</v>
      </c>
      <c r="G127" s="18" t="s">
        <v>23</v>
      </c>
      <c r="H127" s="32" t="s">
        <v>306</v>
      </c>
      <c r="I127" s="18" t="s">
        <v>291</v>
      </c>
      <c r="J127" s="18" t="s">
        <v>364</v>
      </c>
      <c r="K127" s="85">
        <f t="shared" si="7"/>
        <v>7020</v>
      </c>
      <c r="L127" s="86">
        <v>9000</v>
      </c>
      <c r="M127" s="25">
        <v>0.22</v>
      </c>
      <c r="N127" s="26" t="s">
        <v>27</v>
      </c>
      <c r="O127" s="28" t="s">
        <v>405</v>
      </c>
      <c r="P127" s="27" t="s">
        <v>29</v>
      </c>
    </row>
    <row r="128" ht="90" customHeight="1" spans="2:20">
      <c r="B128" s="17">
        <v>106</v>
      </c>
      <c r="C128" s="18" t="s">
        <v>406</v>
      </c>
      <c r="D128" s="18" t="s">
        <v>362</v>
      </c>
      <c r="E128" s="19"/>
      <c r="F128" s="87" t="s">
        <v>396</v>
      </c>
      <c r="G128" s="18" t="s">
        <v>23</v>
      </c>
      <c r="H128" s="32" t="s">
        <v>306</v>
      </c>
      <c r="I128" s="18" t="s">
        <v>291</v>
      </c>
      <c r="J128" s="18" t="s">
        <v>364</v>
      </c>
      <c r="K128" s="85">
        <f t="shared" si="7"/>
        <v>7020</v>
      </c>
      <c r="L128" s="86">
        <v>9000</v>
      </c>
      <c r="M128" s="25">
        <v>0.22</v>
      </c>
      <c r="N128" s="26" t="s">
        <v>27</v>
      </c>
      <c r="O128" s="28" t="s">
        <v>407</v>
      </c>
      <c r="P128" s="27" t="s">
        <v>29</v>
      </c>
    </row>
    <row r="129" ht="90" customHeight="1" spans="2:20">
      <c r="B129" s="17">
        <v>107</v>
      </c>
      <c r="C129" s="18" t="s">
        <v>408</v>
      </c>
      <c r="D129" s="18" t="s">
        <v>362</v>
      </c>
      <c r="E129" s="19"/>
      <c r="F129" s="87" t="s">
        <v>409</v>
      </c>
      <c r="G129" s="18" t="s">
        <v>23</v>
      </c>
      <c r="H129" s="32" t="s">
        <v>306</v>
      </c>
      <c r="I129" s="18" t="s">
        <v>291</v>
      </c>
      <c r="J129" s="18" t="s">
        <v>364</v>
      </c>
      <c r="K129" s="85">
        <f t="shared" si="7"/>
        <v>7020</v>
      </c>
      <c r="L129" s="86">
        <v>9000</v>
      </c>
      <c r="M129" s="25">
        <v>0.22</v>
      </c>
      <c r="N129" s="26" t="s">
        <v>27</v>
      </c>
      <c r="O129" s="28" t="s">
        <v>410</v>
      </c>
      <c r="P129" s="27" t="s">
        <v>29</v>
      </c>
    </row>
    <row r="130" s="1" customFormat="1" ht="90" customHeight="1" spans="2:20">
      <c r="B130" s="75">
        <v>108</v>
      </c>
      <c r="C130" s="40" t="s">
        <v>411</v>
      </c>
      <c r="D130" s="40" t="s">
        <v>362</v>
      </c>
      <c r="E130" s="80"/>
      <c r="F130" s="88" t="s">
        <v>412</v>
      </c>
      <c r="G130" s="40" t="s">
        <v>23</v>
      </c>
      <c r="H130" s="82" t="s">
        <v>306</v>
      </c>
      <c r="I130" s="40" t="s">
        <v>291</v>
      </c>
      <c r="J130" s="40" t="s">
        <v>364</v>
      </c>
      <c r="K130" s="83">
        <f t="shared" si="7"/>
        <v>0</v>
      </c>
      <c r="L130" s="84"/>
      <c r="M130" s="46">
        <v>0.22</v>
      </c>
      <c r="N130" s="26" t="s">
        <v>27</v>
      </c>
      <c r="O130" s="28" t="s">
        <v>413</v>
      </c>
      <c r="P130" s="27" t="s">
        <v>29</v>
      </c>
      <c r="Q130" s="47"/>
      <c r="R130" s="47"/>
      <c r="S130" s="47"/>
      <c r="T130" s="47"/>
    </row>
    <row r="131" ht="50.15" customHeight="1" spans="2:20">
      <c r="B131" s="29" t="s">
        <v>414</v>
      </c>
      <c r="C131" s="30"/>
      <c r="D131" s="30"/>
      <c r="E131" s="30"/>
      <c r="F131" s="30"/>
      <c r="G131" s="30"/>
      <c r="H131" s="30"/>
      <c r="I131" s="30"/>
      <c r="J131" s="30"/>
      <c r="K131" s="30"/>
      <c r="L131" s="30"/>
      <c r="M131" s="31"/>
      <c r="N131" s="26" t="s">
        <v>27</v>
      </c>
      <c r="O131" s="28" t="s">
        <v>415</v>
      </c>
      <c r="P131" s="27" t="s">
        <v>29</v>
      </c>
    </row>
    <row r="132" ht="80.15" customHeight="1" spans="2:20">
      <c r="B132" s="17">
        <v>109</v>
      </c>
      <c r="C132" s="18" t="s">
        <v>416</v>
      </c>
      <c r="D132" s="18" t="s">
        <v>414</v>
      </c>
      <c r="E132" s="19"/>
      <c r="F132" s="18" t="s">
        <v>417</v>
      </c>
      <c r="G132" s="18" t="s">
        <v>23</v>
      </c>
      <c r="H132" s="32" t="s">
        <v>414</v>
      </c>
      <c r="I132" s="18" t="s">
        <v>291</v>
      </c>
      <c r="J132" s="18" t="s">
        <v>364</v>
      </c>
      <c r="K132" s="85">
        <f t="shared" ref="K132:K148" si="8">L132*(1-22%)</f>
        <v>13260</v>
      </c>
      <c r="L132" s="86">
        <v>17000</v>
      </c>
      <c r="M132" s="25">
        <v>0.22</v>
      </c>
      <c r="N132" s="26" t="s">
        <v>27</v>
      </c>
      <c r="O132" s="28" t="s">
        <v>418</v>
      </c>
      <c r="P132" s="27" t="s">
        <v>29</v>
      </c>
    </row>
    <row r="133" ht="80.15" customHeight="1" spans="2:20">
      <c r="B133" s="17">
        <v>110</v>
      </c>
      <c r="C133" s="18" t="s">
        <v>419</v>
      </c>
      <c r="D133" s="18" t="s">
        <v>414</v>
      </c>
      <c r="E133" s="19"/>
      <c r="F133" s="18" t="s">
        <v>420</v>
      </c>
      <c r="G133" s="18" t="s">
        <v>23</v>
      </c>
      <c r="H133" s="32" t="s">
        <v>414</v>
      </c>
      <c r="I133" s="18" t="s">
        <v>291</v>
      </c>
      <c r="J133" s="18" t="s">
        <v>364</v>
      </c>
      <c r="K133" s="85">
        <f t="shared" si="8"/>
        <v>4290</v>
      </c>
      <c r="L133" s="86">
        <v>5500</v>
      </c>
      <c r="M133" s="25">
        <v>0.22</v>
      </c>
      <c r="N133" s="26" t="s">
        <v>27</v>
      </c>
      <c r="O133" s="28" t="s">
        <v>421</v>
      </c>
      <c r="P133" s="27" t="s">
        <v>29</v>
      </c>
    </row>
    <row r="134" ht="80.15" customHeight="1" spans="2:20">
      <c r="B134" s="17">
        <v>111</v>
      </c>
      <c r="C134" s="18" t="s">
        <v>422</v>
      </c>
      <c r="D134" s="18" t="s">
        <v>414</v>
      </c>
      <c r="E134" s="19"/>
      <c r="F134" s="18" t="s">
        <v>420</v>
      </c>
      <c r="G134" s="18" t="s">
        <v>23</v>
      </c>
      <c r="H134" s="32" t="s">
        <v>414</v>
      </c>
      <c r="I134" s="18" t="s">
        <v>291</v>
      </c>
      <c r="J134" s="18" t="s">
        <v>364</v>
      </c>
      <c r="K134" s="85">
        <f t="shared" si="8"/>
        <v>4680</v>
      </c>
      <c r="L134" s="86">
        <v>6000</v>
      </c>
      <c r="M134" s="25">
        <v>0.22</v>
      </c>
      <c r="N134" s="26" t="s">
        <v>27</v>
      </c>
      <c r="O134" s="28" t="s">
        <v>423</v>
      </c>
      <c r="P134" s="27" t="s">
        <v>29</v>
      </c>
    </row>
    <row r="135" ht="80.15" customHeight="1" spans="2:20">
      <c r="B135" s="17">
        <v>112</v>
      </c>
      <c r="C135" s="18" t="s">
        <v>424</v>
      </c>
      <c r="D135" s="18" t="s">
        <v>414</v>
      </c>
      <c r="E135" s="19"/>
      <c r="F135" s="18" t="s">
        <v>425</v>
      </c>
      <c r="G135" s="18" t="s">
        <v>23</v>
      </c>
      <c r="H135" s="32" t="s">
        <v>414</v>
      </c>
      <c r="I135" s="18" t="s">
        <v>291</v>
      </c>
      <c r="J135" s="18" t="s">
        <v>364</v>
      </c>
      <c r="K135" s="85">
        <f t="shared" si="8"/>
        <v>4524</v>
      </c>
      <c r="L135" s="86">
        <v>5800</v>
      </c>
      <c r="M135" s="25">
        <v>0.22</v>
      </c>
      <c r="N135" s="26" t="s">
        <v>27</v>
      </c>
      <c r="O135" s="28" t="s">
        <v>426</v>
      </c>
      <c r="P135" s="27" t="s">
        <v>29</v>
      </c>
    </row>
    <row r="136" ht="80.15" customHeight="1" spans="2:20">
      <c r="B136" s="17">
        <v>113</v>
      </c>
      <c r="C136" s="18" t="s">
        <v>427</v>
      </c>
      <c r="D136" s="18" t="s">
        <v>414</v>
      </c>
      <c r="E136" s="19"/>
      <c r="F136" s="18" t="s">
        <v>425</v>
      </c>
      <c r="G136" s="18" t="s">
        <v>23</v>
      </c>
      <c r="H136" s="32" t="s">
        <v>414</v>
      </c>
      <c r="I136" s="18" t="s">
        <v>291</v>
      </c>
      <c r="J136" s="18" t="s">
        <v>364</v>
      </c>
      <c r="K136" s="85">
        <f t="shared" si="8"/>
        <v>3588</v>
      </c>
      <c r="L136" s="86">
        <v>4600</v>
      </c>
      <c r="M136" s="25">
        <v>0.22</v>
      </c>
      <c r="N136" s="26" t="s">
        <v>27</v>
      </c>
      <c r="O136" s="28" t="s">
        <v>428</v>
      </c>
      <c r="P136" s="27" t="s">
        <v>29</v>
      </c>
    </row>
    <row r="137" ht="80.15" customHeight="1" spans="2:20">
      <c r="B137" s="17">
        <v>114</v>
      </c>
      <c r="C137" s="18" t="s">
        <v>429</v>
      </c>
      <c r="D137" s="18" t="s">
        <v>414</v>
      </c>
      <c r="E137" s="19"/>
      <c r="F137" s="18" t="s">
        <v>425</v>
      </c>
      <c r="G137" s="18" t="s">
        <v>23</v>
      </c>
      <c r="H137" s="32" t="s">
        <v>414</v>
      </c>
      <c r="I137" s="18" t="s">
        <v>291</v>
      </c>
      <c r="J137" s="18" t="s">
        <v>364</v>
      </c>
      <c r="K137" s="85">
        <f t="shared" si="8"/>
        <v>2964</v>
      </c>
      <c r="L137" s="86">
        <v>3800</v>
      </c>
      <c r="M137" s="25">
        <v>0.22</v>
      </c>
      <c r="N137" s="26" t="s">
        <v>27</v>
      </c>
      <c r="O137" s="28" t="s">
        <v>430</v>
      </c>
      <c r="P137" s="27" t="s">
        <v>29</v>
      </c>
    </row>
    <row r="138" ht="80.15" customHeight="1" spans="2:20">
      <c r="B138" s="17">
        <v>115</v>
      </c>
      <c r="C138" s="18" t="s">
        <v>431</v>
      </c>
      <c r="D138" s="18" t="s">
        <v>414</v>
      </c>
      <c r="E138" s="19"/>
      <c r="F138" s="18" t="s">
        <v>425</v>
      </c>
      <c r="G138" s="18" t="s">
        <v>23</v>
      </c>
      <c r="H138" s="32" t="s">
        <v>414</v>
      </c>
      <c r="I138" s="18" t="s">
        <v>291</v>
      </c>
      <c r="J138" s="18" t="s">
        <v>364</v>
      </c>
      <c r="K138" s="85">
        <f t="shared" si="8"/>
        <v>5850</v>
      </c>
      <c r="L138" s="86">
        <v>7500</v>
      </c>
      <c r="M138" s="25">
        <v>0.22</v>
      </c>
      <c r="N138" s="26" t="s">
        <v>27</v>
      </c>
      <c r="O138" s="28" t="s">
        <v>432</v>
      </c>
      <c r="P138" s="27" t="s">
        <v>29</v>
      </c>
    </row>
    <row r="139" ht="80.15" customHeight="1" spans="2:20">
      <c r="B139" s="17">
        <v>116</v>
      </c>
      <c r="C139" s="18" t="s">
        <v>433</v>
      </c>
      <c r="D139" s="18" t="s">
        <v>414</v>
      </c>
      <c r="E139" s="19"/>
      <c r="F139" s="18" t="s">
        <v>425</v>
      </c>
      <c r="G139" s="18" t="s">
        <v>23</v>
      </c>
      <c r="H139" s="32" t="s">
        <v>414</v>
      </c>
      <c r="I139" s="18" t="s">
        <v>291</v>
      </c>
      <c r="J139" s="18" t="s">
        <v>364</v>
      </c>
      <c r="K139" s="85">
        <f t="shared" si="8"/>
        <v>3822</v>
      </c>
      <c r="L139" s="86">
        <v>4900</v>
      </c>
      <c r="M139" s="25">
        <v>0.22</v>
      </c>
      <c r="N139" s="26" t="s">
        <v>27</v>
      </c>
      <c r="O139" s="28" t="s">
        <v>434</v>
      </c>
      <c r="P139" s="27" t="s">
        <v>29</v>
      </c>
    </row>
    <row r="140" ht="80.15" customHeight="1" spans="2:20">
      <c r="B140" s="17">
        <v>117</v>
      </c>
      <c r="C140" s="18" t="s">
        <v>435</v>
      </c>
      <c r="D140" s="18" t="s">
        <v>414</v>
      </c>
      <c r="E140" s="19"/>
      <c r="F140" s="18" t="s">
        <v>436</v>
      </c>
      <c r="G140" s="18" t="s">
        <v>23</v>
      </c>
      <c r="H140" s="32" t="s">
        <v>414</v>
      </c>
      <c r="I140" s="18" t="s">
        <v>291</v>
      </c>
      <c r="J140" s="18" t="s">
        <v>364</v>
      </c>
      <c r="K140" s="85">
        <f t="shared" si="8"/>
        <v>4992</v>
      </c>
      <c r="L140" s="86">
        <v>6400</v>
      </c>
      <c r="M140" s="25">
        <v>0.22</v>
      </c>
      <c r="N140" s="26" t="s">
        <v>27</v>
      </c>
      <c r="O140" s="28" t="s">
        <v>437</v>
      </c>
      <c r="P140" s="27" t="s">
        <v>29</v>
      </c>
    </row>
    <row r="141" ht="80.15" customHeight="1" spans="2:20">
      <c r="B141" s="17">
        <v>118</v>
      </c>
      <c r="C141" s="18" t="s">
        <v>438</v>
      </c>
      <c r="D141" s="18" t="s">
        <v>414</v>
      </c>
      <c r="E141" s="19"/>
      <c r="F141" s="18" t="s">
        <v>439</v>
      </c>
      <c r="G141" s="18" t="s">
        <v>23</v>
      </c>
      <c r="H141" s="32" t="s">
        <v>414</v>
      </c>
      <c r="I141" s="18" t="s">
        <v>291</v>
      </c>
      <c r="J141" s="18" t="s">
        <v>364</v>
      </c>
      <c r="K141" s="85">
        <f t="shared" si="8"/>
        <v>2886</v>
      </c>
      <c r="L141" s="86">
        <v>3700</v>
      </c>
      <c r="M141" s="25">
        <v>0.22</v>
      </c>
      <c r="N141" s="26" t="s">
        <v>27</v>
      </c>
      <c r="O141" s="28" t="s">
        <v>440</v>
      </c>
      <c r="P141" s="27" t="s">
        <v>29</v>
      </c>
    </row>
    <row r="142" ht="80.15" customHeight="1" spans="2:20">
      <c r="B142" s="17">
        <v>119</v>
      </c>
      <c r="C142" s="18" t="s">
        <v>441</v>
      </c>
      <c r="D142" s="18" t="s">
        <v>414</v>
      </c>
      <c r="E142" s="19"/>
      <c r="F142" s="18" t="s">
        <v>425</v>
      </c>
      <c r="G142" s="18" t="s">
        <v>23</v>
      </c>
      <c r="H142" s="32" t="s">
        <v>414</v>
      </c>
      <c r="I142" s="18" t="s">
        <v>291</v>
      </c>
      <c r="J142" s="18" t="s">
        <v>364</v>
      </c>
      <c r="K142" s="85">
        <f t="shared" si="8"/>
        <v>2184</v>
      </c>
      <c r="L142" s="86">
        <v>2800</v>
      </c>
      <c r="M142" s="25">
        <v>0.22</v>
      </c>
      <c r="N142" s="26" t="s">
        <v>27</v>
      </c>
      <c r="O142" s="28" t="s">
        <v>442</v>
      </c>
      <c r="P142" s="27" t="s">
        <v>29</v>
      </c>
    </row>
    <row r="143" ht="80.15" customHeight="1" spans="2:20">
      <c r="B143" s="17">
        <v>120</v>
      </c>
      <c r="C143" s="18" t="s">
        <v>443</v>
      </c>
      <c r="D143" s="18" t="s">
        <v>414</v>
      </c>
      <c r="E143" s="19"/>
      <c r="F143" s="18" t="s">
        <v>444</v>
      </c>
      <c r="G143" s="18" t="s">
        <v>23</v>
      </c>
      <c r="H143" s="32" t="s">
        <v>414</v>
      </c>
      <c r="I143" s="18" t="s">
        <v>291</v>
      </c>
      <c r="J143" s="18" t="s">
        <v>445</v>
      </c>
      <c r="K143" s="85">
        <f t="shared" si="8"/>
        <v>3432</v>
      </c>
      <c r="L143" s="86">
        <v>4400</v>
      </c>
      <c r="M143" s="25">
        <v>0.22</v>
      </c>
      <c r="N143" s="26" t="s">
        <v>27</v>
      </c>
      <c r="O143" s="28" t="s">
        <v>446</v>
      </c>
      <c r="P143" s="27" t="s">
        <v>29</v>
      </c>
    </row>
    <row r="144" ht="80.15" customHeight="1" spans="2:20">
      <c r="B144" s="17">
        <v>121</v>
      </c>
      <c r="C144" s="18" t="s">
        <v>447</v>
      </c>
      <c r="D144" s="18" t="s">
        <v>414</v>
      </c>
      <c r="E144" s="19"/>
      <c r="F144" s="18" t="s">
        <v>448</v>
      </c>
      <c r="G144" s="18" t="s">
        <v>23</v>
      </c>
      <c r="H144" s="32" t="s">
        <v>414</v>
      </c>
      <c r="I144" s="18" t="s">
        <v>291</v>
      </c>
      <c r="J144" s="18" t="s">
        <v>364</v>
      </c>
      <c r="K144" s="85">
        <f t="shared" si="8"/>
        <v>8190</v>
      </c>
      <c r="L144" s="86">
        <v>10500</v>
      </c>
      <c r="M144" s="25">
        <v>0.22</v>
      </c>
      <c r="N144" s="26" t="s">
        <v>27</v>
      </c>
      <c r="O144" s="28" t="s">
        <v>449</v>
      </c>
      <c r="P144" s="27" t="s">
        <v>29</v>
      </c>
    </row>
    <row r="145" s="1" customFormat="1" ht="80.15" customHeight="1" spans="2:20">
      <c r="B145" s="75">
        <v>122</v>
      </c>
      <c r="C145" s="40" t="s">
        <v>450</v>
      </c>
      <c r="D145" s="40" t="s">
        <v>414</v>
      </c>
      <c r="E145" s="80"/>
      <c r="F145" s="40" t="s">
        <v>451</v>
      </c>
      <c r="G145" s="40" t="s">
        <v>23</v>
      </c>
      <c r="H145" s="82" t="s">
        <v>414</v>
      </c>
      <c r="I145" s="40" t="s">
        <v>291</v>
      </c>
      <c r="J145" s="40" t="s">
        <v>445</v>
      </c>
      <c r="K145" s="83">
        <f t="shared" si="8"/>
        <v>0</v>
      </c>
      <c r="L145" s="84"/>
      <c r="M145" s="46">
        <v>0.22</v>
      </c>
      <c r="N145" s="26" t="s">
        <v>27</v>
      </c>
      <c r="O145" s="28" t="s">
        <v>452</v>
      </c>
      <c r="P145" s="27" t="s">
        <v>29</v>
      </c>
      <c r="Q145" s="47"/>
      <c r="R145" s="47"/>
      <c r="S145" s="47"/>
      <c r="T145" s="47"/>
    </row>
    <row r="146" ht="80.15" customHeight="1" spans="2:20">
      <c r="B146" s="17">
        <v>123</v>
      </c>
      <c r="C146" s="18" t="s">
        <v>453</v>
      </c>
      <c r="D146" s="18" t="s">
        <v>414</v>
      </c>
      <c r="E146" s="19"/>
      <c r="F146" s="18" t="s">
        <v>454</v>
      </c>
      <c r="G146" s="18" t="s">
        <v>23</v>
      </c>
      <c r="H146" s="32" t="s">
        <v>414</v>
      </c>
      <c r="I146" s="18" t="s">
        <v>291</v>
      </c>
      <c r="J146" s="18" t="s">
        <v>364</v>
      </c>
      <c r="K146" s="85">
        <f t="shared" si="8"/>
        <v>4446</v>
      </c>
      <c r="L146" s="86">
        <v>5700</v>
      </c>
      <c r="M146" s="25">
        <v>0.22</v>
      </c>
      <c r="N146" s="26" t="s">
        <v>27</v>
      </c>
      <c r="O146" s="28" t="s">
        <v>455</v>
      </c>
      <c r="P146" s="27" t="s">
        <v>29</v>
      </c>
    </row>
    <row r="147" ht="80.15" customHeight="1" spans="2:20">
      <c r="B147" s="17">
        <v>124</v>
      </c>
      <c r="C147" s="18" t="s">
        <v>456</v>
      </c>
      <c r="D147" s="18" t="s">
        <v>414</v>
      </c>
      <c r="E147" s="19"/>
      <c r="F147" s="18" t="s">
        <v>457</v>
      </c>
      <c r="G147" s="18" t="s">
        <v>23</v>
      </c>
      <c r="H147" s="32" t="s">
        <v>414</v>
      </c>
      <c r="I147" s="18" t="s">
        <v>291</v>
      </c>
      <c r="J147" s="18" t="s">
        <v>364</v>
      </c>
      <c r="K147" s="85">
        <f t="shared" si="8"/>
        <v>3978</v>
      </c>
      <c r="L147" s="86">
        <v>5100</v>
      </c>
      <c r="M147" s="25">
        <v>0.22</v>
      </c>
      <c r="N147" s="26" t="s">
        <v>27</v>
      </c>
      <c r="O147" s="28" t="s">
        <v>458</v>
      </c>
      <c r="P147" s="27" t="s">
        <v>29</v>
      </c>
    </row>
    <row r="148" ht="80.15" customHeight="1" spans="2:20">
      <c r="B148" s="17">
        <v>125</v>
      </c>
      <c r="C148" s="18" t="s">
        <v>459</v>
      </c>
      <c r="D148" s="18" t="s">
        <v>414</v>
      </c>
      <c r="E148" s="19"/>
      <c r="F148" s="18" t="s">
        <v>457</v>
      </c>
      <c r="G148" s="18" t="s">
        <v>23</v>
      </c>
      <c r="H148" s="32" t="s">
        <v>414</v>
      </c>
      <c r="I148" s="18" t="s">
        <v>291</v>
      </c>
      <c r="J148" s="18" t="s">
        <v>364</v>
      </c>
      <c r="K148" s="85">
        <f t="shared" si="8"/>
        <v>9204</v>
      </c>
      <c r="L148" s="86">
        <v>11800</v>
      </c>
      <c r="M148" s="25">
        <v>0.22</v>
      </c>
      <c r="N148" s="26" t="s">
        <v>27</v>
      </c>
      <c r="O148" s="28" t="s">
        <v>460</v>
      </c>
      <c r="P148" s="27" t="s">
        <v>29</v>
      </c>
    </row>
    <row r="149" ht="50.15" customHeight="1" spans="2:20">
      <c r="B149" s="29" t="s">
        <v>461</v>
      </c>
      <c r="C149" s="30"/>
      <c r="D149" s="30"/>
      <c r="E149" s="30"/>
      <c r="F149" s="30"/>
      <c r="G149" s="30"/>
      <c r="H149" s="30"/>
      <c r="I149" s="30"/>
      <c r="J149" s="30"/>
      <c r="K149" s="30"/>
      <c r="L149" s="30"/>
      <c r="M149" s="31"/>
      <c r="N149" s="26" t="s">
        <v>27</v>
      </c>
      <c r="O149" s="28" t="s">
        <v>462</v>
      </c>
      <c r="P149" s="27" t="s">
        <v>29</v>
      </c>
    </row>
    <row r="150" s="1" customFormat="1" ht="80.15" customHeight="1" spans="2:20">
      <c r="B150" s="75">
        <v>126</v>
      </c>
      <c r="C150" s="40" t="s">
        <v>463</v>
      </c>
      <c r="D150" s="40" t="s">
        <v>464</v>
      </c>
      <c r="E150" s="80"/>
      <c r="F150" s="40" t="s">
        <v>465</v>
      </c>
      <c r="G150" s="40" t="s">
        <v>23</v>
      </c>
      <c r="H150" s="89" t="s">
        <v>466</v>
      </c>
      <c r="I150" s="40" t="s">
        <v>291</v>
      </c>
      <c r="J150" s="40" t="s">
        <v>467</v>
      </c>
      <c r="K150" s="79">
        <f>L150*(1-0.22)</f>
        <v>0</v>
      </c>
      <c r="L150" s="45"/>
      <c r="M150" s="46">
        <v>0.22</v>
      </c>
      <c r="N150" s="26" t="s">
        <v>27</v>
      </c>
      <c r="O150" s="28" t="s">
        <v>468</v>
      </c>
      <c r="P150" s="27" t="s">
        <v>29</v>
      </c>
      <c r="Q150" s="47"/>
      <c r="R150" s="47"/>
      <c r="S150" s="47"/>
      <c r="T150" s="47"/>
    </row>
    <row r="151" s="1" customFormat="1" ht="80.15" customHeight="1" spans="2:20">
      <c r="B151" s="75">
        <v>127</v>
      </c>
      <c r="C151" s="40" t="s">
        <v>469</v>
      </c>
      <c r="D151" s="40" t="s">
        <v>464</v>
      </c>
      <c r="E151" s="80"/>
      <c r="F151" s="40" t="s">
        <v>465</v>
      </c>
      <c r="G151" s="40" t="s">
        <v>23</v>
      </c>
      <c r="H151" s="89" t="s">
        <v>466</v>
      </c>
      <c r="I151" s="40" t="s">
        <v>291</v>
      </c>
      <c r="J151" s="40" t="s">
        <v>470</v>
      </c>
      <c r="K151" s="79">
        <f>L151*(1-0.22)</f>
        <v>0</v>
      </c>
      <c r="L151" s="45"/>
      <c r="M151" s="46">
        <v>0.22</v>
      </c>
      <c r="N151" s="26" t="s">
        <v>27</v>
      </c>
      <c r="O151" s="28" t="s">
        <v>471</v>
      </c>
      <c r="P151" s="27" t="s">
        <v>29</v>
      </c>
      <c r="Q151" s="47"/>
      <c r="R151" s="47"/>
      <c r="S151" s="47"/>
      <c r="T151" s="47"/>
    </row>
    <row r="152" ht="80.15" customHeight="1" spans="2:20">
      <c r="B152" s="17">
        <v>128</v>
      </c>
      <c r="C152" s="18" t="s">
        <v>472</v>
      </c>
      <c r="D152" s="18" t="s">
        <v>464</v>
      </c>
      <c r="E152" s="19"/>
      <c r="F152" s="18" t="s">
        <v>473</v>
      </c>
      <c r="G152" s="18" t="s">
        <v>474</v>
      </c>
      <c r="H152" s="90" t="s">
        <v>466</v>
      </c>
      <c r="I152" s="18" t="s">
        <v>291</v>
      </c>
      <c r="J152" s="18" t="s">
        <v>257</v>
      </c>
      <c r="K152" s="23">
        <f>L152*(1-0.22)</f>
        <v>3510</v>
      </c>
      <c r="L152" s="24">
        <v>4500</v>
      </c>
      <c r="M152" s="25">
        <v>0.22</v>
      </c>
      <c r="N152" s="26" t="s">
        <v>27</v>
      </c>
      <c r="O152" s="28" t="s">
        <v>475</v>
      </c>
      <c r="P152" s="27" t="s">
        <v>29</v>
      </c>
    </row>
    <row r="153" ht="80.15" customHeight="1" spans="2:20">
      <c r="B153" s="17">
        <v>129</v>
      </c>
      <c r="C153" s="18" t="s">
        <v>476</v>
      </c>
      <c r="D153" s="18" t="s">
        <v>464</v>
      </c>
      <c r="E153" s="19"/>
      <c r="F153" s="18" t="s">
        <v>477</v>
      </c>
      <c r="G153" s="18" t="s">
        <v>23</v>
      </c>
      <c r="H153" s="90" t="s">
        <v>466</v>
      </c>
      <c r="I153" s="18" t="s">
        <v>291</v>
      </c>
      <c r="J153" s="18" t="s">
        <v>478</v>
      </c>
      <c r="K153" s="23">
        <f>L153*(1-0.22)</f>
        <v>4056</v>
      </c>
      <c r="L153" s="24">
        <v>5200</v>
      </c>
      <c r="M153" s="25">
        <v>0.22</v>
      </c>
      <c r="N153" s="26" t="s">
        <v>27</v>
      </c>
      <c r="O153" s="28" t="s">
        <v>479</v>
      </c>
      <c r="P153" s="27" t="s">
        <v>29</v>
      </c>
    </row>
    <row r="154" ht="80.15" customHeight="1" spans="2:20">
      <c r="B154" s="17">
        <v>130</v>
      </c>
      <c r="C154" s="18" t="s">
        <v>480</v>
      </c>
      <c r="D154" s="18" t="s">
        <v>464</v>
      </c>
      <c r="E154" s="19"/>
      <c r="F154" s="18" t="s">
        <v>481</v>
      </c>
      <c r="G154" s="18" t="s">
        <v>23</v>
      </c>
      <c r="H154" s="32" t="s">
        <v>304</v>
      </c>
      <c r="I154" s="18" t="s">
        <v>291</v>
      </c>
      <c r="J154" s="18" t="s">
        <v>482</v>
      </c>
      <c r="K154" s="23">
        <f>L154*(1-0.22)</f>
        <v>8424</v>
      </c>
      <c r="L154" s="24">
        <v>10800</v>
      </c>
      <c r="M154" s="25">
        <v>0.22</v>
      </c>
      <c r="N154" s="26" t="s">
        <v>27</v>
      </c>
      <c r="O154" s="28" t="s">
        <v>483</v>
      </c>
      <c r="P154" s="27" t="s">
        <v>29</v>
      </c>
    </row>
    <row r="155" ht="50.15" customHeight="1" spans="2:20">
      <c r="B155" s="29" t="s">
        <v>484</v>
      </c>
      <c r="C155" s="30"/>
      <c r="D155" s="30"/>
      <c r="E155" s="30"/>
      <c r="F155" s="30"/>
      <c r="G155" s="30"/>
      <c r="H155" s="30"/>
      <c r="I155" s="30"/>
      <c r="J155" s="30"/>
      <c r="K155" s="30"/>
      <c r="L155" s="30"/>
      <c r="M155" s="31"/>
      <c r="N155" s="26" t="s">
        <v>27</v>
      </c>
      <c r="O155" s="28" t="s">
        <v>485</v>
      </c>
      <c r="P155" s="27" t="s">
        <v>29</v>
      </c>
    </row>
    <row r="156" s="1" customFormat="1" ht="80.15" customHeight="1" spans="2:20">
      <c r="B156" s="75">
        <v>131</v>
      </c>
      <c r="C156" s="40" t="s">
        <v>486</v>
      </c>
      <c r="D156" s="40" t="s">
        <v>487</v>
      </c>
      <c r="E156" s="80"/>
      <c r="F156" s="40" t="s">
        <v>488</v>
      </c>
      <c r="G156" s="40" t="s">
        <v>189</v>
      </c>
      <c r="H156" s="82" t="s">
        <v>304</v>
      </c>
      <c r="I156" s="40" t="s">
        <v>291</v>
      </c>
      <c r="J156" s="40" t="s">
        <v>364</v>
      </c>
      <c r="K156" s="79">
        <f>L156*(1-0.22)</f>
        <v>0</v>
      </c>
      <c r="L156" s="91">
        <v>0</v>
      </c>
      <c r="M156" s="46">
        <v>0.22</v>
      </c>
      <c r="N156" s="26" t="s">
        <v>27</v>
      </c>
      <c r="O156" s="28" t="s">
        <v>489</v>
      </c>
      <c r="P156" s="27" t="s">
        <v>29</v>
      </c>
      <c r="Q156" s="47"/>
      <c r="R156" s="47"/>
      <c r="S156" s="47"/>
      <c r="T156" s="47"/>
    </row>
    <row r="157" ht="50.15" customHeight="1" spans="2:20">
      <c r="B157" s="29" t="s">
        <v>490</v>
      </c>
      <c r="C157" s="30"/>
      <c r="D157" s="30"/>
      <c r="E157" s="30"/>
      <c r="F157" s="30"/>
      <c r="G157" s="30"/>
      <c r="H157" s="30"/>
      <c r="I157" s="30"/>
      <c r="J157" s="30"/>
      <c r="K157" s="30"/>
      <c r="L157" s="30"/>
      <c r="M157" s="31"/>
      <c r="N157" s="26" t="s">
        <v>27</v>
      </c>
      <c r="O157" s="28" t="s">
        <v>491</v>
      </c>
      <c r="P157" s="27" t="s">
        <v>29</v>
      </c>
    </row>
    <row r="158" s="1" customFormat="1" ht="80.15" customHeight="1" spans="2:20">
      <c r="B158" s="75">
        <v>132</v>
      </c>
      <c r="C158" s="40" t="s">
        <v>492</v>
      </c>
      <c r="D158" s="40" t="s">
        <v>493</v>
      </c>
      <c r="E158" s="80"/>
      <c r="F158" s="40" t="s">
        <v>488</v>
      </c>
      <c r="G158" s="40" t="s">
        <v>189</v>
      </c>
      <c r="H158" s="40" t="s">
        <v>493</v>
      </c>
      <c r="I158" s="40" t="s">
        <v>291</v>
      </c>
      <c r="J158" s="40" t="s">
        <v>364</v>
      </c>
      <c r="K158" s="79">
        <f>L158*(1-0.22)</f>
        <v>0</v>
      </c>
      <c r="L158" s="91">
        <v>0</v>
      </c>
      <c r="M158" s="46">
        <v>0.22</v>
      </c>
      <c r="N158" s="26" t="s">
        <v>27</v>
      </c>
      <c r="O158" s="28" t="s">
        <v>494</v>
      </c>
      <c r="P158" s="27" t="s">
        <v>29</v>
      </c>
      <c r="Q158" s="47"/>
      <c r="R158" s="47"/>
      <c r="S158" s="47"/>
      <c r="T158" s="47"/>
    </row>
    <row r="159" ht="50.15" customHeight="1" spans="2:20">
      <c r="B159" s="29" t="s">
        <v>495</v>
      </c>
      <c r="C159" s="30"/>
      <c r="D159" s="30"/>
      <c r="E159" s="30"/>
      <c r="F159" s="30"/>
      <c r="G159" s="30"/>
      <c r="H159" s="30"/>
      <c r="I159" s="30"/>
      <c r="J159" s="30"/>
      <c r="K159" s="30"/>
      <c r="L159" s="30"/>
      <c r="M159" s="31"/>
      <c r="N159" s="26" t="s">
        <v>27</v>
      </c>
      <c r="O159" s="28" t="s">
        <v>496</v>
      </c>
      <c r="P159" s="27" t="s">
        <v>29</v>
      </c>
    </row>
    <row r="160" ht="80.15" customHeight="1" spans="2:20">
      <c r="B160" s="17">
        <v>133</v>
      </c>
      <c r="C160" s="18" t="s">
        <v>497</v>
      </c>
      <c r="D160" s="18" t="s">
        <v>498</v>
      </c>
      <c r="E160" s="19"/>
      <c r="F160" s="23" t="s">
        <v>22</v>
      </c>
      <c r="G160" s="18" t="s">
        <v>23</v>
      </c>
      <c r="H160" s="32" t="s">
        <v>498</v>
      </c>
      <c r="I160" s="18" t="s">
        <v>499</v>
      </c>
      <c r="J160" s="18" t="s">
        <v>228</v>
      </c>
      <c r="K160" s="23">
        <f>L160*(1-0.22)</f>
        <v>6708</v>
      </c>
      <c r="L160" s="24">
        <v>8600</v>
      </c>
      <c r="M160" s="25">
        <v>0.22</v>
      </c>
      <c r="N160" s="26" t="s">
        <v>27</v>
      </c>
      <c r="O160" s="28" t="s">
        <v>500</v>
      </c>
      <c r="P160" s="27" t="s">
        <v>29</v>
      </c>
    </row>
    <row r="161" ht="80.15" customHeight="1" spans="2:20">
      <c r="B161" s="17">
        <v>134</v>
      </c>
      <c r="C161" s="18" t="s">
        <v>501</v>
      </c>
      <c r="D161" s="18" t="s">
        <v>498</v>
      </c>
      <c r="E161" s="19"/>
      <c r="F161" s="23" t="s">
        <v>22</v>
      </c>
      <c r="G161" s="18" t="s">
        <v>23</v>
      </c>
      <c r="H161" s="32" t="s">
        <v>498</v>
      </c>
      <c r="I161" s="18" t="s">
        <v>502</v>
      </c>
      <c r="J161" s="18" t="s">
        <v>228</v>
      </c>
      <c r="K161" s="23">
        <f>L161*(1-0.22)</f>
        <v>9126</v>
      </c>
      <c r="L161" s="24">
        <v>11700</v>
      </c>
      <c r="M161" s="25">
        <v>0.22</v>
      </c>
      <c r="N161" s="26" t="s">
        <v>27</v>
      </c>
      <c r="O161" s="28" t="s">
        <v>503</v>
      </c>
      <c r="P161" s="27" t="s">
        <v>29</v>
      </c>
    </row>
    <row r="162" ht="50.15" customHeight="1" spans="2:20">
      <c r="B162" s="29" t="s">
        <v>504</v>
      </c>
      <c r="C162" s="30"/>
      <c r="D162" s="30"/>
      <c r="E162" s="30"/>
      <c r="F162" s="30"/>
      <c r="G162" s="30"/>
      <c r="H162" s="30"/>
      <c r="I162" s="30"/>
      <c r="J162" s="30"/>
      <c r="K162" s="30"/>
      <c r="L162" s="30"/>
      <c r="M162" s="31"/>
      <c r="N162" s="26" t="s">
        <v>27</v>
      </c>
      <c r="O162" s="28" t="s">
        <v>505</v>
      </c>
      <c r="P162" s="27" t="s">
        <v>29</v>
      </c>
    </row>
    <row r="163" s="1" customFormat="1" ht="80.15" customHeight="1" spans="2:20">
      <c r="B163" s="75">
        <v>135</v>
      </c>
      <c r="C163" s="40" t="s">
        <v>506</v>
      </c>
      <c r="D163" s="40" t="s">
        <v>504</v>
      </c>
      <c r="E163" s="80"/>
      <c r="F163" s="79" t="s">
        <v>22</v>
      </c>
      <c r="G163" s="40" t="s">
        <v>23</v>
      </c>
      <c r="H163" s="82" t="s">
        <v>504</v>
      </c>
      <c r="I163" s="40" t="s">
        <v>507</v>
      </c>
      <c r="J163" s="40" t="s">
        <v>508</v>
      </c>
      <c r="K163" s="79">
        <f>L163*(1-0.22)</f>
        <v>0</v>
      </c>
      <c r="L163" s="91">
        <v>0</v>
      </c>
      <c r="M163" s="46">
        <v>0.22</v>
      </c>
      <c r="N163" s="26" t="s">
        <v>27</v>
      </c>
      <c r="O163" s="28" t="s">
        <v>509</v>
      </c>
      <c r="P163" s="27" t="s">
        <v>29</v>
      </c>
      <c r="Q163" s="47"/>
      <c r="R163" s="47"/>
      <c r="S163" s="47"/>
      <c r="T163" s="47"/>
    </row>
    <row r="164" s="1" customFormat="1" ht="80.15" customHeight="1" spans="2:20">
      <c r="B164" s="75">
        <v>136</v>
      </c>
      <c r="C164" s="40" t="s">
        <v>510</v>
      </c>
      <c r="D164" s="40" t="s">
        <v>504</v>
      </c>
      <c r="E164" s="80"/>
      <c r="F164" s="79" t="s">
        <v>22</v>
      </c>
      <c r="G164" s="40" t="s">
        <v>23</v>
      </c>
      <c r="H164" s="82" t="s">
        <v>504</v>
      </c>
      <c r="I164" s="40" t="s">
        <v>511</v>
      </c>
      <c r="J164" s="40" t="s">
        <v>508</v>
      </c>
      <c r="K164" s="79">
        <f>L164*(1-0.22)</f>
        <v>0</v>
      </c>
      <c r="L164" s="91">
        <v>0</v>
      </c>
      <c r="M164" s="46">
        <v>0.22</v>
      </c>
      <c r="N164" s="26" t="s">
        <v>27</v>
      </c>
      <c r="O164" s="28" t="s">
        <v>512</v>
      </c>
      <c r="P164" s="27" t="s">
        <v>29</v>
      </c>
      <c r="Q164" s="47"/>
      <c r="R164" s="47"/>
      <c r="S164" s="47"/>
      <c r="T164" s="47"/>
    </row>
    <row r="165" s="1" customFormat="1" ht="80.15" customHeight="1" spans="2:20">
      <c r="B165" s="75">
        <v>137</v>
      </c>
      <c r="C165" s="40" t="s">
        <v>513</v>
      </c>
      <c r="D165" s="40" t="s">
        <v>504</v>
      </c>
      <c r="E165" s="80"/>
      <c r="F165" s="40" t="s">
        <v>514</v>
      </c>
      <c r="G165" s="40" t="s">
        <v>23</v>
      </c>
      <c r="H165" s="82" t="s">
        <v>504</v>
      </c>
      <c r="I165" s="40" t="s">
        <v>515</v>
      </c>
      <c r="J165" s="40" t="s">
        <v>516</v>
      </c>
      <c r="K165" s="79">
        <f>L165*(1-0.22)</f>
        <v>0</v>
      </c>
      <c r="L165" s="91">
        <v>0</v>
      </c>
      <c r="M165" s="46">
        <v>0.22</v>
      </c>
      <c r="N165" s="26" t="s">
        <v>27</v>
      </c>
      <c r="O165" s="28" t="s">
        <v>517</v>
      </c>
      <c r="P165" s="27" t="s">
        <v>29</v>
      </c>
      <c r="Q165" s="47"/>
      <c r="R165" s="47"/>
      <c r="S165" s="47"/>
      <c r="T165" s="47"/>
    </row>
    <row r="166" s="1" customFormat="1" ht="80.15" customHeight="1" spans="2:20">
      <c r="B166" s="75">
        <v>138</v>
      </c>
      <c r="C166" s="40" t="s">
        <v>518</v>
      </c>
      <c r="D166" s="40" t="s">
        <v>504</v>
      </c>
      <c r="E166" s="80"/>
      <c r="F166" s="40" t="s">
        <v>514</v>
      </c>
      <c r="G166" s="40" t="s">
        <v>23</v>
      </c>
      <c r="H166" s="82" t="s">
        <v>504</v>
      </c>
      <c r="I166" s="40" t="s">
        <v>519</v>
      </c>
      <c r="J166" s="40" t="s">
        <v>516</v>
      </c>
      <c r="K166" s="79">
        <f>L166*(1-0.22)</f>
        <v>0</v>
      </c>
      <c r="L166" s="91">
        <v>0</v>
      </c>
      <c r="M166" s="46">
        <v>0.22</v>
      </c>
      <c r="N166" s="26" t="s">
        <v>27</v>
      </c>
      <c r="O166" s="28" t="s">
        <v>520</v>
      </c>
      <c r="P166" s="27" t="s">
        <v>29</v>
      </c>
      <c r="Q166" s="47"/>
      <c r="R166" s="47"/>
      <c r="S166" s="47"/>
      <c r="T166" s="47"/>
    </row>
    <row r="167" ht="50.15" customHeight="1" spans="2:20">
      <c r="B167" s="29" t="s">
        <v>521</v>
      </c>
      <c r="C167" s="30"/>
      <c r="D167" s="30"/>
      <c r="E167" s="30"/>
      <c r="F167" s="30"/>
      <c r="G167" s="30"/>
      <c r="H167" s="30"/>
      <c r="I167" s="30"/>
      <c r="J167" s="30"/>
      <c r="K167" s="30"/>
      <c r="L167" s="30"/>
      <c r="M167" s="31"/>
      <c r="N167" s="26" t="s">
        <v>27</v>
      </c>
      <c r="O167" s="28" t="s">
        <v>522</v>
      </c>
      <c r="P167" s="27" t="s">
        <v>29</v>
      </c>
    </row>
    <row r="168" ht="80.15" customHeight="1" spans="2:20">
      <c r="B168" s="17">
        <v>139</v>
      </c>
      <c r="C168" s="18" t="s">
        <v>523</v>
      </c>
      <c r="D168" s="18" t="s">
        <v>524</v>
      </c>
      <c r="E168" s="19"/>
      <c r="F168" s="23" t="s">
        <v>22</v>
      </c>
      <c r="G168" s="18" t="s">
        <v>23</v>
      </c>
      <c r="H168" s="32" t="s">
        <v>525</v>
      </c>
      <c r="I168" s="18" t="s">
        <v>526</v>
      </c>
      <c r="J168" s="18" t="s">
        <v>228</v>
      </c>
      <c r="K168" s="23">
        <f>L168*(1-0.22)</f>
        <v>13650</v>
      </c>
      <c r="L168" s="24">
        <v>17500</v>
      </c>
      <c r="M168" s="25">
        <v>0.22</v>
      </c>
      <c r="N168" s="26" t="s">
        <v>27</v>
      </c>
      <c r="O168" s="28" t="s">
        <v>527</v>
      </c>
      <c r="P168" s="27" t="s">
        <v>29</v>
      </c>
    </row>
    <row r="169" ht="80.15" customHeight="1" spans="2:20">
      <c r="B169" s="17">
        <v>140</v>
      </c>
      <c r="C169" s="18" t="s">
        <v>528</v>
      </c>
      <c r="D169" s="18" t="s">
        <v>524</v>
      </c>
      <c r="E169" s="19"/>
      <c r="F169" s="23" t="s">
        <v>22</v>
      </c>
      <c r="G169" s="18" t="s">
        <v>23</v>
      </c>
      <c r="H169" s="32" t="s">
        <v>525</v>
      </c>
      <c r="I169" s="18" t="s">
        <v>526</v>
      </c>
      <c r="J169" s="18" t="s">
        <v>228</v>
      </c>
      <c r="K169" s="23">
        <f>L169*(1-0.22)</f>
        <v>13806</v>
      </c>
      <c r="L169" s="24">
        <v>17700</v>
      </c>
      <c r="M169" s="25">
        <v>0.22</v>
      </c>
      <c r="N169" s="26" t="s">
        <v>27</v>
      </c>
      <c r="O169" s="28" t="s">
        <v>529</v>
      </c>
      <c r="P169" s="27" t="s">
        <v>29</v>
      </c>
    </row>
    <row r="170" ht="80.15" customHeight="1" spans="2:20">
      <c r="B170" s="17">
        <v>141</v>
      </c>
      <c r="C170" s="18" t="s">
        <v>530</v>
      </c>
      <c r="D170" s="18" t="s">
        <v>524</v>
      </c>
      <c r="E170" s="19"/>
      <c r="F170" s="23" t="s">
        <v>22</v>
      </c>
      <c r="G170" s="18" t="s">
        <v>23</v>
      </c>
      <c r="H170" s="32" t="s">
        <v>525</v>
      </c>
      <c r="I170" s="18" t="s">
        <v>531</v>
      </c>
      <c r="J170" s="18" t="s">
        <v>228</v>
      </c>
      <c r="K170" s="23">
        <f>L170*(1-0.22)</f>
        <v>12870</v>
      </c>
      <c r="L170" s="24">
        <v>16500</v>
      </c>
      <c r="M170" s="25">
        <v>0.22</v>
      </c>
      <c r="N170" s="26" t="s">
        <v>27</v>
      </c>
      <c r="O170" s="28" t="s">
        <v>532</v>
      </c>
      <c r="P170" s="27" t="s">
        <v>29</v>
      </c>
    </row>
    <row r="171" ht="80.15" customHeight="1" spans="2:20">
      <c r="B171" s="17">
        <v>142</v>
      </c>
      <c r="C171" s="18" t="s">
        <v>533</v>
      </c>
      <c r="D171" s="18" t="s">
        <v>524</v>
      </c>
      <c r="E171" s="19"/>
      <c r="F171" s="23" t="s">
        <v>22</v>
      </c>
      <c r="G171" s="18" t="s">
        <v>23</v>
      </c>
      <c r="H171" s="32" t="s">
        <v>525</v>
      </c>
      <c r="I171" s="18" t="s">
        <v>534</v>
      </c>
      <c r="J171" s="18" t="s">
        <v>228</v>
      </c>
      <c r="K171" s="23">
        <f>L171*(1-0.22)</f>
        <v>11076</v>
      </c>
      <c r="L171" s="24">
        <v>14200</v>
      </c>
      <c r="M171" s="25">
        <v>0.22</v>
      </c>
      <c r="N171" s="26" t="s">
        <v>27</v>
      </c>
      <c r="O171" s="28" t="s">
        <v>535</v>
      </c>
      <c r="P171" s="27" t="s">
        <v>29</v>
      </c>
    </row>
    <row r="172" ht="50.15" customHeight="1" spans="2:20">
      <c r="B172" s="29" t="s">
        <v>536</v>
      </c>
      <c r="C172" s="30"/>
      <c r="D172" s="30"/>
      <c r="E172" s="30"/>
      <c r="F172" s="30"/>
      <c r="G172" s="30"/>
      <c r="H172" s="30"/>
      <c r="I172" s="30"/>
      <c r="J172" s="30"/>
      <c r="K172" s="30"/>
      <c r="L172" s="30"/>
      <c r="M172" s="31"/>
      <c r="N172" s="26" t="s">
        <v>27</v>
      </c>
      <c r="O172" s="28" t="s">
        <v>537</v>
      </c>
      <c r="P172" s="27" t="s">
        <v>29</v>
      </c>
    </row>
    <row r="173" ht="80.15" customHeight="1" spans="2:20">
      <c r="B173" s="17">
        <v>143</v>
      </c>
      <c r="C173" s="18" t="s">
        <v>538</v>
      </c>
      <c r="D173" s="18" t="s">
        <v>539</v>
      </c>
      <c r="E173" s="19"/>
      <c r="F173" s="18" t="s">
        <v>540</v>
      </c>
      <c r="G173" s="18" t="s">
        <v>23</v>
      </c>
      <c r="H173" s="32" t="s">
        <v>541</v>
      </c>
      <c r="I173" s="18" t="s">
        <v>291</v>
      </c>
      <c r="J173" s="18" t="s">
        <v>478</v>
      </c>
      <c r="K173" s="23">
        <f>L173*(1-0.22)</f>
        <v>10140</v>
      </c>
      <c r="L173" s="24">
        <v>13000</v>
      </c>
      <c r="M173" s="25">
        <v>0.22</v>
      </c>
      <c r="N173" s="26" t="s">
        <v>27</v>
      </c>
      <c r="O173" s="28" t="s">
        <v>542</v>
      </c>
      <c r="P173" s="27" t="s">
        <v>29</v>
      </c>
    </row>
    <row r="174" ht="80.15" customHeight="1" spans="2:20">
      <c r="B174" s="17">
        <v>144</v>
      </c>
      <c r="C174" s="18" t="s">
        <v>543</v>
      </c>
      <c r="D174" s="18" t="s">
        <v>539</v>
      </c>
      <c r="E174" s="19"/>
      <c r="F174" s="18" t="s">
        <v>544</v>
      </c>
      <c r="G174" s="18" t="s">
        <v>23</v>
      </c>
      <c r="H174" s="32" t="s">
        <v>541</v>
      </c>
      <c r="I174" s="18" t="s">
        <v>291</v>
      </c>
      <c r="J174" s="18" t="s">
        <v>545</v>
      </c>
      <c r="K174" s="23">
        <f>L174*(1-0.22)</f>
        <v>14820</v>
      </c>
      <c r="L174" s="24">
        <v>19000</v>
      </c>
      <c r="M174" s="25">
        <v>0.22</v>
      </c>
      <c r="N174" s="26" t="s">
        <v>27</v>
      </c>
      <c r="O174" s="28" t="s">
        <v>546</v>
      </c>
      <c r="P174" s="27" t="s">
        <v>29</v>
      </c>
    </row>
    <row r="175" ht="80.15" customHeight="1" spans="2:20">
      <c r="B175" s="17">
        <v>145</v>
      </c>
      <c r="C175" s="18" t="s">
        <v>547</v>
      </c>
      <c r="D175" s="18" t="s">
        <v>539</v>
      </c>
      <c r="E175" s="19"/>
      <c r="F175" s="18" t="s">
        <v>544</v>
      </c>
      <c r="G175" s="18" t="s">
        <v>23</v>
      </c>
      <c r="H175" s="32" t="s">
        <v>541</v>
      </c>
      <c r="I175" s="18" t="s">
        <v>291</v>
      </c>
      <c r="J175" s="18" t="s">
        <v>548</v>
      </c>
      <c r="K175" s="23">
        <f>L175*(1-0.22)</f>
        <v>24960</v>
      </c>
      <c r="L175" s="24">
        <v>32000</v>
      </c>
      <c r="M175" s="25">
        <v>0.22</v>
      </c>
      <c r="N175" s="26" t="s">
        <v>27</v>
      </c>
      <c r="O175" s="28" t="s">
        <v>549</v>
      </c>
      <c r="P175" s="27" t="s">
        <v>29</v>
      </c>
    </row>
    <row r="176" s="1" customFormat="1" ht="80.15" customHeight="1" spans="2:20">
      <c r="B176" s="75">
        <v>146</v>
      </c>
      <c r="C176" s="40" t="s">
        <v>550</v>
      </c>
      <c r="D176" s="40" t="s">
        <v>539</v>
      </c>
      <c r="E176" s="80"/>
      <c r="F176" s="40" t="s">
        <v>544</v>
      </c>
      <c r="G176" s="40" t="s">
        <v>23</v>
      </c>
      <c r="H176" s="82" t="s">
        <v>541</v>
      </c>
      <c r="I176" s="40" t="s">
        <v>291</v>
      </c>
      <c r="J176" s="40" t="s">
        <v>548</v>
      </c>
      <c r="K176" s="79">
        <f>L176*(1-0.22)</f>
        <v>0</v>
      </c>
      <c r="L176" s="45"/>
      <c r="M176" s="46">
        <v>0.22</v>
      </c>
      <c r="N176" s="26" t="s">
        <v>27</v>
      </c>
      <c r="O176" s="28" t="s">
        <v>551</v>
      </c>
      <c r="P176" s="27" t="s">
        <v>29</v>
      </c>
      <c r="Q176" s="47"/>
      <c r="R176" s="47"/>
      <c r="S176" s="47"/>
      <c r="T176" s="47"/>
    </row>
    <row r="177" ht="50.15" customHeight="1" spans="2:20">
      <c r="B177" s="29" t="s">
        <v>552</v>
      </c>
      <c r="C177" s="30"/>
      <c r="D177" s="30"/>
      <c r="E177" s="30"/>
      <c r="F177" s="30"/>
      <c r="G177" s="30"/>
      <c r="H177" s="30"/>
      <c r="I177" s="30"/>
      <c r="J177" s="30"/>
      <c r="K177" s="30"/>
      <c r="L177" s="30"/>
      <c r="M177" s="31"/>
      <c r="N177" s="26" t="s">
        <v>27</v>
      </c>
      <c r="O177" s="28" t="s">
        <v>553</v>
      </c>
      <c r="P177" s="27" t="s">
        <v>29</v>
      </c>
    </row>
    <row r="178" ht="80.15" customHeight="1" spans="2:20">
      <c r="B178" s="17">
        <v>147</v>
      </c>
      <c r="C178" s="18" t="s">
        <v>554</v>
      </c>
      <c r="D178" s="18" t="s">
        <v>555</v>
      </c>
      <c r="E178" s="19"/>
      <c r="F178" s="18" t="s">
        <v>556</v>
      </c>
      <c r="G178" s="18" t="s">
        <v>23</v>
      </c>
      <c r="H178" s="32" t="s">
        <v>557</v>
      </c>
      <c r="I178" s="18" t="s">
        <v>558</v>
      </c>
      <c r="J178" s="18" t="s">
        <v>559</v>
      </c>
      <c r="K178" s="23">
        <f>L178*(1-0.22)</f>
        <v>9750</v>
      </c>
      <c r="L178" s="24">
        <v>12500</v>
      </c>
      <c r="M178" s="25">
        <v>0.22</v>
      </c>
      <c r="N178" s="26" t="s">
        <v>27</v>
      </c>
      <c r="O178" s="28" t="s">
        <v>560</v>
      </c>
      <c r="P178" s="27" t="s">
        <v>29</v>
      </c>
    </row>
    <row r="179" ht="80.15" customHeight="1" spans="2:20">
      <c r="B179" s="17">
        <v>148</v>
      </c>
      <c r="C179" s="18" t="s">
        <v>561</v>
      </c>
      <c r="D179" s="18" t="s">
        <v>555</v>
      </c>
      <c r="E179" s="19"/>
      <c r="F179" s="18" t="s">
        <v>556</v>
      </c>
      <c r="G179" s="18" t="s">
        <v>23</v>
      </c>
      <c r="H179" s="32" t="s">
        <v>557</v>
      </c>
      <c r="I179" s="18" t="s">
        <v>562</v>
      </c>
      <c r="J179" s="18" t="s">
        <v>559</v>
      </c>
      <c r="K179" s="23">
        <f>L179*(1-0.22)</f>
        <v>13650</v>
      </c>
      <c r="L179" s="24">
        <v>17500</v>
      </c>
      <c r="M179" s="25">
        <v>0.22</v>
      </c>
      <c r="N179" s="26" t="s">
        <v>27</v>
      </c>
      <c r="O179" s="28" t="s">
        <v>563</v>
      </c>
      <c r="P179" s="27" t="s">
        <v>29</v>
      </c>
    </row>
    <row r="180" ht="80.15" customHeight="1" spans="2:20">
      <c r="B180" s="17">
        <v>149</v>
      </c>
      <c r="C180" s="18" t="s">
        <v>564</v>
      </c>
      <c r="D180" s="18" t="s">
        <v>555</v>
      </c>
      <c r="E180" s="19"/>
      <c r="F180" s="18" t="s">
        <v>556</v>
      </c>
      <c r="G180" s="18" t="s">
        <v>23</v>
      </c>
      <c r="H180" s="32" t="s">
        <v>557</v>
      </c>
      <c r="I180" s="18" t="s">
        <v>565</v>
      </c>
      <c r="J180" s="18" t="s">
        <v>559</v>
      </c>
      <c r="K180" s="23">
        <f>L180*(1-0.22)</f>
        <v>16770</v>
      </c>
      <c r="L180" s="24">
        <v>21500</v>
      </c>
      <c r="M180" s="25">
        <v>0.22</v>
      </c>
      <c r="N180" s="26" t="s">
        <v>27</v>
      </c>
      <c r="O180" s="28" t="s">
        <v>566</v>
      </c>
      <c r="P180" s="27" t="s">
        <v>29</v>
      </c>
    </row>
    <row r="181" ht="80.15" customHeight="1" spans="2:20">
      <c r="B181" s="17">
        <v>150</v>
      </c>
      <c r="C181" s="18" t="s">
        <v>567</v>
      </c>
      <c r="D181" s="18" t="s">
        <v>552</v>
      </c>
      <c r="E181" s="19"/>
      <c r="F181" s="18" t="s">
        <v>556</v>
      </c>
      <c r="G181" s="18" t="s">
        <v>23</v>
      </c>
      <c r="H181" s="32" t="s">
        <v>557</v>
      </c>
      <c r="I181" s="18" t="s">
        <v>568</v>
      </c>
      <c r="J181" s="18" t="s">
        <v>559</v>
      </c>
      <c r="K181" s="23">
        <f>L181*(1-0.22)</f>
        <v>27300</v>
      </c>
      <c r="L181" s="24">
        <v>35000</v>
      </c>
      <c r="M181" s="25">
        <v>0.22</v>
      </c>
      <c r="N181" s="26" t="s">
        <v>27</v>
      </c>
      <c r="O181" s="28" t="s">
        <v>569</v>
      </c>
      <c r="P181" s="27" t="s">
        <v>29</v>
      </c>
    </row>
    <row r="182" ht="80.15" customHeight="1" spans="2:20">
      <c r="B182" s="17">
        <v>151</v>
      </c>
      <c r="C182" s="18" t="s">
        <v>570</v>
      </c>
      <c r="D182" s="18" t="s">
        <v>552</v>
      </c>
      <c r="E182" s="19"/>
      <c r="F182" s="18" t="s">
        <v>556</v>
      </c>
      <c r="G182" s="18" t="s">
        <v>23</v>
      </c>
      <c r="H182" s="32" t="s">
        <v>557</v>
      </c>
      <c r="I182" s="18" t="s">
        <v>571</v>
      </c>
      <c r="J182" s="18" t="s">
        <v>559</v>
      </c>
      <c r="K182" s="23">
        <f>L182*(1-0.22)</f>
        <v>29250</v>
      </c>
      <c r="L182" s="24">
        <v>37500</v>
      </c>
      <c r="M182" s="25">
        <v>0.22</v>
      </c>
      <c r="N182" s="26" t="s">
        <v>27</v>
      </c>
      <c r="O182" s="28" t="s">
        <v>572</v>
      </c>
      <c r="P182" s="27" t="s">
        <v>29</v>
      </c>
    </row>
    <row r="183" ht="50.15" customHeight="1" spans="2:20">
      <c r="B183" s="29" t="s">
        <v>573</v>
      </c>
      <c r="C183" s="30"/>
      <c r="D183" s="30"/>
      <c r="E183" s="30"/>
      <c r="F183" s="30"/>
      <c r="G183" s="30"/>
      <c r="H183" s="30"/>
      <c r="I183" s="30"/>
      <c r="J183" s="30"/>
      <c r="K183" s="30"/>
      <c r="L183" s="30"/>
      <c r="M183" s="31"/>
      <c r="N183" s="26" t="s">
        <v>27</v>
      </c>
      <c r="O183" s="28" t="s">
        <v>574</v>
      </c>
      <c r="P183" s="27" t="s">
        <v>29</v>
      </c>
    </row>
    <row r="184" ht="80.15" customHeight="1" spans="2:20">
      <c r="B184" s="17">
        <v>152</v>
      </c>
      <c r="C184" s="18" t="s">
        <v>575</v>
      </c>
      <c r="D184" s="18" t="s">
        <v>576</v>
      </c>
      <c r="E184" s="19"/>
      <c r="F184" s="18" t="s">
        <v>556</v>
      </c>
      <c r="G184" s="18" t="s">
        <v>23</v>
      </c>
      <c r="H184" s="32" t="s">
        <v>577</v>
      </c>
      <c r="I184" s="18" t="s">
        <v>578</v>
      </c>
      <c r="J184" s="18" t="s">
        <v>559</v>
      </c>
      <c r="K184" s="23">
        <f>L184*(1-0.22)</f>
        <v>26910</v>
      </c>
      <c r="L184" s="24">
        <v>34500</v>
      </c>
      <c r="M184" s="25">
        <v>0.22</v>
      </c>
      <c r="N184" s="26" t="s">
        <v>27</v>
      </c>
      <c r="O184" s="28" t="s">
        <v>579</v>
      </c>
      <c r="P184" s="27" t="s">
        <v>29</v>
      </c>
    </row>
    <row r="185" ht="80.15" customHeight="1" spans="2:20">
      <c r="B185" s="17">
        <v>153</v>
      </c>
      <c r="C185" s="18" t="s">
        <v>580</v>
      </c>
      <c r="D185" s="18" t="s">
        <v>576</v>
      </c>
      <c r="E185" s="19"/>
      <c r="F185" s="18" t="s">
        <v>556</v>
      </c>
      <c r="G185" s="18" t="s">
        <v>23</v>
      </c>
      <c r="H185" s="32" t="s">
        <v>577</v>
      </c>
      <c r="I185" s="18" t="s">
        <v>581</v>
      </c>
      <c r="J185" s="18" t="s">
        <v>559</v>
      </c>
      <c r="K185" s="23">
        <f>L185*(1-0.22)</f>
        <v>27690</v>
      </c>
      <c r="L185" s="24">
        <v>35500</v>
      </c>
      <c r="M185" s="25">
        <v>0.22</v>
      </c>
      <c r="N185" s="26" t="s">
        <v>27</v>
      </c>
      <c r="O185" s="28" t="s">
        <v>582</v>
      </c>
      <c r="P185" s="27" t="s">
        <v>29</v>
      </c>
    </row>
    <row r="186" ht="80.15" customHeight="1" spans="2:20">
      <c r="B186" s="17">
        <v>154</v>
      </c>
      <c r="C186" s="18" t="s">
        <v>583</v>
      </c>
      <c r="D186" s="18" t="s">
        <v>576</v>
      </c>
      <c r="E186" s="19"/>
      <c r="F186" s="18" t="s">
        <v>556</v>
      </c>
      <c r="G186" s="18" t="s">
        <v>23</v>
      </c>
      <c r="H186" s="32" t="s">
        <v>577</v>
      </c>
      <c r="I186" s="18" t="s">
        <v>581</v>
      </c>
      <c r="J186" s="18" t="s">
        <v>559</v>
      </c>
      <c r="K186" s="23">
        <f>L186*(1-0.22)</f>
        <v>21840</v>
      </c>
      <c r="L186" s="24">
        <v>28000</v>
      </c>
      <c r="M186" s="25">
        <v>0.22</v>
      </c>
      <c r="N186" s="26" t="s">
        <v>27</v>
      </c>
      <c r="O186" s="28" t="s">
        <v>584</v>
      </c>
      <c r="P186" s="27" t="s">
        <v>29</v>
      </c>
    </row>
    <row r="187" ht="50.15" customHeight="1" spans="2:20">
      <c r="B187" s="29" t="s">
        <v>585</v>
      </c>
      <c r="C187" s="30"/>
      <c r="D187" s="30"/>
      <c r="E187" s="30"/>
      <c r="F187" s="30"/>
      <c r="G187" s="30"/>
      <c r="H187" s="30"/>
      <c r="I187" s="30"/>
      <c r="J187" s="30"/>
      <c r="K187" s="30"/>
      <c r="L187" s="30"/>
      <c r="M187" s="31"/>
      <c r="N187" s="26" t="s">
        <v>27</v>
      </c>
      <c r="O187" s="28" t="s">
        <v>586</v>
      </c>
      <c r="P187" s="27" t="s">
        <v>29</v>
      </c>
    </row>
    <row r="188" s="1" customFormat="1" ht="80.15" customHeight="1" spans="2:20">
      <c r="B188" s="75">
        <v>155</v>
      </c>
      <c r="C188" s="40" t="s">
        <v>587</v>
      </c>
      <c r="D188" s="40" t="s">
        <v>588</v>
      </c>
      <c r="E188" s="80"/>
      <c r="F188" s="40" t="s">
        <v>589</v>
      </c>
      <c r="G188" s="40" t="s">
        <v>23</v>
      </c>
      <c r="H188" s="89" t="s">
        <v>466</v>
      </c>
      <c r="I188" s="40" t="s">
        <v>590</v>
      </c>
      <c r="J188" s="40" t="s">
        <v>591</v>
      </c>
      <c r="K188" s="79">
        <f>L188*(1-0.22)</f>
        <v>0</v>
      </c>
      <c r="L188" s="91">
        <v>0</v>
      </c>
      <c r="M188" s="92">
        <v>0.22</v>
      </c>
      <c r="N188" s="93" t="s">
        <v>27</v>
      </c>
      <c r="O188" s="94" t="s">
        <v>592</v>
      </c>
      <c r="P188" s="95" t="s">
        <v>29</v>
      </c>
      <c r="Q188" s="47"/>
      <c r="R188" s="47"/>
      <c r="S188" s="47"/>
      <c r="T188" s="47"/>
    </row>
    <row r="189" spans="2:20">
      <c r="M189" s="96"/>
      <c r="N189" s="97"/>
      <c r="O189" s="8"/>
      <c r="P189" s="8"/>
    </row>
    <row r="190" spans="2:20">
      <c r="M190" s="96"/>
      <c r="N190" s="97"/>
      <c r="O190" s="8"/>
      <c r="P190" s="8"/>
    </row>
    <row r="191" spans="2:20">
      <c r="M191" s="96"/>
      <c r="N191" s="97"/>
      <c r="O191" s="8"/>
      <c r="P191" s="8"/>
    </row>
    <row r="192" spans="2:20">
      <c r="M192" s="96"/>
      <c r="N192" s="97"/>
      <c r="O192" s="8"/>
      <c r="P192" s="8"/>
    </row>
    <row r="193" spans="13:16">
      <c r="M193" s="96"/>
      <c r="N193" s="97"/>
      <c r="O193" s="8"/>
      <c r="P193" s="8"/>
    </row>
    <row r="194" spans="13:16">
      <c r="M194" s="96"/>
      <c r="N194" s="97"/>
      <c r="O194" s="8"/>
      <c r="P194" s="8"/>
    </row>
    <row r="195" spans="13:16">
      <c r="M195" s="96"/>
      <c r="N195" s="97"/>
      <c r="O195" s="8"/>
      <c r="P195" s="8"/>
    </row>
    <row r="196" spans="13:16">
      <c r="M196" s="96"/>
      <c r="N196" s="97"/>
      <c r="O196" s="8"/>
      <c r="P196" s="8"/>
    </row>
    <row r="197" spans="13:16">
      <c r="M197" s="96"/>
      <c r="N197" s="97"/>
      <c r="O197" s="8"/>
      <c r="P197" s="8"/>
    </row>
    <row r="198" spans="13:16">
      <c r="M198" s="96"/>
      <c r="N198" s="97"/>
      <c r="O198" s="8"/>
      <c r="P198" s="8"/>
    </row>
    <row r="199" spans="13:16">
      <c r="M199" s="96"/>
      <c r="N199" s="97"/>
      <c r="O199" s="8"/>
      <c r="P199" s="8"/>
    </row>
    <row r="200" spans="13:16">
      <c r="M200" s="96"/>
      <c r="N200" s="97"/>
      <c r="O200" s="8"/>
      <c r="P200" s="8"/>
    </row>
    <row r="201" spans="13:16">
      <c r="M201" s="96"/>
      <c r="N201" s="97"/>
      <c r="O201" s="8"/>
      <c r="P201" s="8"/>
    </row>
    <row r="202" spans="13:16">
      <c r="M202" s="96"/>
      <c r="N202" s="97"/>
      <c r="O202" s="8"/>
      <c r="P202" s="8"/>
    </row>
    <row r="203" spans="13:16">
      <c r="M203" s="96"/>
      <c r="N203" s="97"/>
      <c r="O203" s="8"/>
      <c r="P203" s="8"/>
    </row>
    <row r="204" spans="13:16">
      <c r="M204" s="96"/>
      <c r="N204" s="97"/>
      <c r="O204" s="8"/>
      <c r="P204" s="8"/>
    </row>
    <row r="205" spans="13:16">
      <c r="M205" s="96"/>
      <c r="N205" s="97"/>
      <c r="O205" s="8"/>
      <c r="P205" s="8"/>
    </row>
    <row r="206" spans="13:16">
      <c r="M206" s="96"/>
      <c r="N206" s="97"/>
      <c r="O206" s="8"/>
      <c r="P206" s="8"/>
    </row>
    <row r="207" spans="13:16">
      <c r="M207" s="96"/>
      <c r="N207" s="97"/>
      <c r="O207" s="8"/>
      <c r="P207" s="8"/>
    </row>
    <row r="208" spans="13:16">
      <c r="M208" s="96"/>
      <c r="N208" s="97"/>
      <c r="O208" s="8"/>
      <c r="P208" s="8"/>
    </row>
    <row r="209" spans="13:16">
      <c r="M209" s="96"/>
      <c r="N209" s="97"/>
      <c r="O209" s="8"/>
      <c r="P209" s="8"/>
    </row>
    <row r="210" spans="13:16">
      <c r="M210" s="96"/>
      <c r="N210" s="97"/>
      <c r="O210" s="8"/>
      <c r="P210" s="8"/>
    </row>
    <row r="211" spans="13:16">
      <c r="M211" s="96"/>
      <c r="N211" s="97"/>
      <c r="O211" s="8"/>
      <c r="P211" s="8"/>
    </row>
    <row r="212" spans="13:16">
      <c r="M212" s="96"/>
      <c r="N212" s="97"/>
      <c r="O212" s="8"/>
      <c r="P212" s="8"/>
    </row>
    <row r="213" spans="13:16">
      <c r="M213" s="96"/>
      <c r="N213" s="97"/>
      <c r="O213" s="8"/>
      <c r="P213" s="8"/>
    </row>
    <row r="214" spans="13:16">
      <c r="M214" s="96"/>
      <c r="N214" s="97"/>
      <c r="O214" s="8"/>
      <c r="P214" s="8"/>
    </row>
    <row r="215" spans="13:16">
      <c r="M215" s="96"/>
      <c r="N215" s="97"/>
      <c r="O215" s="8"/>
      <c r="P215" s="8"/>
    </row>
    <row r="216" spans="13:16">
      <c r="M216" s="96"/>
      <c r="N216" s="97"/>
      <c r="O216" s="8"/>
      <c r="P216" s="8"/>
    </row>
    <row r="217" spans="13:16">
      <c r="M217" s="96"/>
      <c r="N217" s="97"/>
      <c r="O217" s="8"/>
      <c r="P217" s="8"/>
    </row>
    <row r="218" spans="13:16">
      <c r="M218" s="96"/>
      <c r="N218" s="97"/>
      <c r="O218" s="8"/>
      <c r="P218" s="8"/>
    </row>
    <row r="219" spans="13:16">
      <c r="M219" s="96"/>
      <c r="N219" s="97"/>
      <c r="O219" s="8"/>
      <c r="P219" s="8"/>
    </row>
    <row r="220" spans="13:16">
      <c r="M220" s="96"/>
      <c r="N220" s="97"/>
      <c r="O220" s="8"/>
      <c r="P220" s="8"/>
    </row>
    <row r="221" spans="13:16">
      <c r="M221" s="96"/>
      <c r="N221" s="97"/>
      <c r="O221" s="8"/>
      <c r="P221" s="8"/>
    </row>
    <row r="222" spans="13:16">
      <c r="M222" s="96"/>
      <c r="N222" s="97"/>
      <c r="O222" s="8"/>
      <c r="P222" s="8"/>
    </row>
    <row r="223" spans="13:16">
      <c r="M223" s="96"/>
      <c r="N223" s="97"/>
      <c r="O223" s="8"/>
      <c r="P223" s="8"/>
    </row>
    <row r="224" spans="13:16">
      <c r="M224" s="96"/>
      <c r="N224" s="97"/>
      <c r="O224" s="8"/>
      <c r="P224" s="8"/>
    </row>
    <row r="225" spans="13:16">
      <c r="M225" s="96"/>
      <c r="N225" s="97"/>
      <c r="O225" s="8"/>
      <c r="P225" s="8"/>
    </row>
    <row r="226" spans="13:16">
      <c r="M226" s="96"/>
      <c r="N226" s="97"/>
      <c r="O226" s="8"/>
      <c r="P226" s="8"/>
    </row>
    <row r="227" spans="13:16">
      <c r="M227" s="96"/>
      <c r="N227" s="97"/>
      <c r="O227" s="8"/>
      <c r="P227" s="8"/>
    </row>
    <row r="228" spans="13:16">
      <c r="M228" s="96"/>
      <c r="N228" s="97"/>
      <c r="O228" s="8"/>
      <c r="P228" s="8"/>
    </row>
    <row r="229" spans="13:16">
      <c r="M229" s="96"/>
      <c r="N229" s="97"/>
      <c r="O229" s="8"/>
      <c r="P229" s="8"/>
    </row>
    <row r="230" spans="13:16">
      <c r="M230" s="96"/>
      <c r="N230" s="97"/>
      <c r="O230" s="8"/>
      <c r="P230" s="8"/>
    </row>
    <row r="231" spans="13:16">
      <c r="M231" s="96"/>
      <c r="N231" s="97"/>
      <c r="O231" s="8"/>
      <c r="P231" s="8"/>
    </row>
    <row r="232" spans="13:16">
      <c r="M232" s="96"/>
      <c r="N232" s="97"/>
      <c r="O232" s="8"/>
      <c r="P232" s="8"/>
    </row>
    <row r="233" spans="13:16">
      <c r="M233" s="96"/>
      <c r="N233" s="97"/>
      <c r="O233" s="8"/>
      <c r="P233" s="8"/>
    </row>
    <row r="234" spans="13:16">
      <c r="M234" s="96"/>
      <c r="N234" s="97"/>
      <c r="O234" s="8"/>
      <c r="P234" s="8"/>
    </row>
    <row r="235" spans="13:16">
      <c r="M235" s="96"/>
      <c r="N235" s="97"/>
      <c r="O235" s="8"/>
      <c r="P235" s="8"/>
    </row>
    <row r="236" spans="13:16">
      <c r="M236" s="96"/>
      <c r="N236" s="97"/>
      <c r="O236" s="8"/>
      <c r="P236" s="8"/>
    </row>
    <row r="237" spans="13:16">
      <c r="M237" s="96"/>
      <c r="N237" s="97"/>
      <c r="O237" s="8"/>
      <c r="P237" s="8"/>
    </row>
    <row r="238" spans="13:16">
      <c r="M238" s="96"/>
      <c r="N238" s="97"/>
      <c r="O238" s="8"/>
      <c r="P238" s="8"/>
    </row>
    <row r="239" spans="13:16">
      <c r="M239" s="96"/>
      <c r="N239" s="97"/>
      <c r="O239" s="8"/>
      <c r="P239" s="8"/>
    </row>
    <row r="240" spans="13:16">
      <c r="M240" s="96"/>
      <c r="N240" s="97"/>
      <c r="O240" s="8"/>
      <c r="P240" s="8"/>
    </row>
    <row r="241" spans="13:16">
      <c r="M241" s="96"/>
      <c r="N241" s="97"/>
      <c r="O241" s="8"/>
      <c r="P241" s="8"/>
    </row>
    <row r="242" spans="13:16">
      <c r="M242" s="96"/>
      <c r="N242" s="97"/>
      <c r="O242" s="8"/>
      <c r="P242" s="8"/>
    </row>
    <row r="243" spans="13:16">
      <c r="M243" s="96"/>
      <c r="N243" s="97"/>
      <c r="O243" s="8"/>
      <c r="P243" s="8"/>
    </row>
    <row r="244" spans="13:16">
      <c r="M244" s="96"/>
      <c r="N244" s="97"/>
      <c r="O244" s="8"/>
      <c r="P244" s="8"/>
    </row>
    <row r="245" spans="13:16">
      <c r="M245" s="96"/>
      <c r="N245" s="97"/>
      <c r="O245" s="8"/>
      <c r="P245" s="8"/>
    </row>
    <row r="246" spans="13:16">
      <c r="M246" s="96"/>
      <c r="N246" s="97"/>
      <c r="O246" s="8"/>
      <c r="P246" s="8"/>
    </row>
    <row r="247" spans="13:16">
      <c r="M247" s="96"/>
      <c r="N247" s="97"/>
      <c r="O247" s="8"/>
      <c r="P247" s="8"/>
    </row>
    <row r="248" spans="13:16">
      <c r="M248" s="96"/>
      <c r="N248" s="97"/>
      <c r="O248" s="8"/>
      <c r="P248" s="8"/>
    </row>
    <row r="249" spans="13:16">
      <c r="M249" s="96"/>
      <c r="N249" s="97"/>
      <c r="O249" s="8"/>
      <c r="P249" s="8"/>
    </row>
    <row r="250" spans="13:16">
      <c r="M250" s="96"/>
      <c r="N250" s="97"/>
      <c r="O250" s="8"/>
      <c r="P250" s="8"/>
    </row>
    <row r="251" spans="13:16">
      <c r="M251" s="96"/>
      <c r="N251" s="97"/>
      <c r="O251" s="8"/>
      <c r="P251" s="8"/>
    </row>
    <row r="252" spans="13:16">
      <c r="M252" s="96"/>
      <c r="N252" s="97"/>
      <c r="O252" s="8"/>
      <c r="P252" s="8"/>
    </row>
    <row r="253" spans="13:16">
      <c r="M253" s="96"/>
      <c r="N253" s="97"/>
      <c r="O253" s="8"/>
      <c r="P253" s="8"/>
    </row>
    <row r="254" spans="13:16">
      <c r="M254" s="96"/>
      <c r="N254" s="97"/>
      <c r="O254" s="8"/>
      <c r="P254" s="8"/>
    </row>
    <row r="255" spans="13:16">
      <c r="M255" s="96"/>
      <c r="N255" s="97"/>
      <c r="O255" s="8"/>
      <c r="P255" s="8"/>
    </row>
    <row r="256" spans="13:16">
      <c r="M256" s="96"/>
      <c r="N256" s="97"/>
      <c r="O256" s="8"/>
      <c r="P256" s="8"/>
    </row>
    <row r="257" spans="13:16">
      <c r="M257" s="96"/>
      <c r="N257" s="97"/>
      <c r="O257" s="8"/>
      <c r="P257" s="8"/>
    </row>
    <row r="258" spans="13:16">
      <c r="M258" s="96"/>
      <c r="N258" s="97"/>
      <c r="O258" s="8"/>
      <c r="P258" s="8"/>
    </row>
    <row r="259" spans="13:16">
      <c r="M259" s="96"/>
      <c r="N259" s="97"/>
      <c r="O259" s="8"/>
      <c r="P259" s="8"/>
    </row>
    <row r="260" spans="13:16">
      <c r="M260" s="96"/>
      <c r="N260" s="97"/>
      <c r="O260" s="8"/>
      <c r="P260" s="8"/>
    </row>
    <row r="261" spans="13:16">
      <c r="M261" s="96"/>
      <c r="N261" s="97"/>
      <c r="O261" s="8"/>
      <c r="P261" s="8"/>
    </row>
    <row r="262" spans="13:16">
      <c r="M262" s="96"/>
      <c r="N262" s="97"/>
      <c r="O262" s="8"/>
      <c r="P262" s="8"/>
    </row>
    <row r="263" spans="13:16">
      <c r="M263" s="96"/>
      <c r="N263" s="97"/>
      <c r="O263" s="8"/>
      <c r="P263" s="8"/>
    </row>
    <row r="264" spans="13:16">
      <c r="M264" s="96"/>
      <c r="N264" s="97"/>
      <c r="O264" s="8"/>
      <c r="P264" s="8"/>
    </row>
    <row r="265" spans="13:16">
      <c r="M265" s="96"/>
      <c r="N265" s="97"/>
      <c r="O265" s="8"/>
      <c r="P265" s="8"/>
    </row>
    <row r="266" spans="13:16">
      <c r="M266" s="96"/>
      <c r="N266" s="97"/>
      <c r="O266" s="8"/>
      <c r="P266" s="8"/>
    </row>
    <row r="267" spans="13:16">
      <c r="M267" s="96"/>
      <c r="N267" s="97"/>
      <c r="O267" s="8"/>
      <c r="P267" s="8"/>
    </row>
    <row r="268" spans="13:16">
      <c r="M268" s="96"/>
      <c r="N268" s="97"/>
      <c r="O268" s="8"/>
      <c r="P268" s="8"/>
    </row>
    <row r="269" spans="13:16">
      <c r="M269" s="96"/>
      <c r="N269" s="97"/>
      <c r="O269" s="8"/>
      <c r="P269" s="8"/>
    </row>
    <row r="270" spans="13:16">
      <c r="M270" s="96"/>
      <c r="N270" s="97"/>
      <c r="O270" s="8"/>
      <c r="P270" s="8"/>
    </row>
    <row r="271" spans="13:16">
      <c r="M271" s="96"/>
      <c r="N271" s="97"/>
      <c r="O271" s="8"/>
      <c r="P271" s="8"/>
    </row>
    <row r="272" spans="13:16">
      <c r="M272" s="96"/>
      <c r="N272" s="97"/>
      <c r="O272" s="8"/>
      <c r="P272" s="8"/>
    </row>
    <row r="273" spans="13:16">
      <c r="M273" s="96"/>
      <c r="N273" s="97"/>
      <c r="O273" s="8"/>
      <c r="P273" s="8"/>
    </row>
    <row r="274" spans="13:16">
      <c r="M274" s="96"/>
      <c r="N274" s="97"/>
      <c r="O274" s="8"/>
      <c r="P274" s="8"/>
    </row>
    <row r="275" spans="13:16">
      <c r="M275" s="96"/>
      <c r="N275" s="97"/>
      <c r="O275" s="8"/>
      <c r="P275" s="8"/>
    </row>
    <row r="276" spans="13:16">
      <c r="M276" s="96"/>
      <c r="N276" s="97"/>
      <c r="O276" s="8"/>
      <c r="P276" s="8"/>
    </row>
    <row r="277" spans="13:16">
      <c r="M277" s="96"/>
      <c r="N277" s="97"/>
      <c r="O277" s="8"/>
      <c r="P277" s="8"/>
    </row>
    <row r="278" spans="13:16">
      <c r="M278" s="96"/>
      <c r="N278" s="97"/>
      <c r="O278" s="8"/>
      <c r="P278" s="8"/>
    </row>
    <row r="279" spans="13:16">
      <c r="M279" s="96"/>
      <c r="N279" s="97"/>
      <c r="O279" s="8"/>
      <c r="P279" s="8"/>
    </row>
    <row r="280" spans="13:16">
      <c r="M280" s="96"/>
      <c r="N280" s="97"/>
      <c r="O280" s="8"/>
      <c r="P280" s="8"/>
    </row>
    <row r="281" spans="13:16">
      <c r="M281" s="96"/>
      <c r="N281" s="97"/>
      <c r="O281" s="8"/>
      <c r="P281" s="8"/>
    </row>
    <row r="282" spans="13:16">
      <c r="M282" s="96"/>
      <c r="N282" s="97"/>
      <c r="O282" s="8"/>
      <c r="P282" s="8"/>
    </row>
    <row r="283" spans="13:16">
      <c r="M283" s="96"/>
      <c r="N283" s="97"/>
      <c r="O283" s="8"/>
      <c r="P283" s="8"/>
    </row>
    <row r="284" spans="13:16">
      <c r="M284" s="96"/>
      <c r="N284" s="97"/>
      <c r="O284" s="8"/>
      <c r="P284" s="8"/>
    </row>
    <row r="285" spans="13:16">
      <c r="M285" s="96"/>
      <c r="N285" s="97"/>
      <c r="O285" s="8"/>
      <c r="P285" s="8"/>
    </row>
    <row r="286" spans="13:16">
      <c r="M286" s="96"/>
      <c r="N286" s="97"/>
      <c r="O286" s="8"/>
      <c r="P286" s="8"/>
    </row>
    <row r="287" spans="13:16">
      <c r="M287" s="96"/>
      <c r="N287" s="97"/>
      <c r="O287" s="8"/>
      <c r="P287" s="8"/>
    </row>
    <row r="288" spans="13:16">
      <c r="M288" s="96"/>
      <c r="N288" s="97"/>
      <c r="O288" s="8"/>
      <c r="P288" s="8"/>
    </row>
    <row r="289" spans="13:16">
      <c r="M289" s="96"/>
      <c r="N289" s="97"/>
      <c r="O289" s="8"/>
      <c r="P289" s="8"/>
    </row>
    <row r="290" spans="13:16">
      <c r="M290" s="96"/>
      <c r="N290" s="97"/>
      <c r="O290" s="8"/>
      <c r="P290" s="8"/>
    </row>
    <row r="291" spans="13:16">
      <c r="M291" s="96"/>
      <c r="N291" s="97"/>
      <c r="O291" s="8"/>
      <c r="P291" s="8"/>
    </row>
    <row r="292" spans="13:16">
      <c r="M292" s="96"/>
      <c r="N292" s="97"/>
      <c r="O292" s="8"/>
      <c r="P292" s="8"/>
    </row>
    <row r="293" spans="13:16">
      <c r="M293" s="96"/>
      <c r="N293" s="97"/>
      <c r="O293" s="8"/>
      <c r="P293" s="8"/>
    </row>
    <row r="294" spans="13:16">
      <c r="M294" s="96"/>
      <c r="N294" s="97"/>
      <c r="O294" s="8"/>
      <c r="P294" s="8"/>
    </row>
    <row r="295" spans="13:16">
      <c r="M295" s="96"/>
      <c r="N295" s="97"/>
      <c r="O295" s="8"/>
      <c r="P295" s="8"/>
    </row>
    <row r="296" spans="13:16">
      <c r="M296" s="96"/>
      <c r="N296" s="97"/>
      <c r="O296" s="8"/>
      <c r="P296" s="8"/>
    </row>
    <row r="297" spans="13:16">
      <c r="M297" s="96"/>
      <c r="N297" s="97"/>
      <c r="O297" s="8"/>
      <c r="P297" s="8"/>
    </row>
    <row r="298" spans="13:16">
      <c r="M298" s="96"/>
      <c r="N298" s="97"/>
      <c r="O298" s="8"/>
      <c r="P298" s="8"/>
    </row>
    <row r="299" spans="13:16">
      <c r="M299" s="96"/>
      <c r="N299" s="97"/>
      <c r="O299" s="8"/>
      <c r="P299" s="8"/>
    </row>
    <row r="300" spans="13:16">
      <c r="M300" s="96"/>
      <c r="N300" s="97"/>
      <c r="O300" s="8"/>
      <c r="P300" s="8"/>
    </row>
    <row r="301" spans="13:16">
      <c r="M301" s="96"/>
      <c r="N301" s="97"/>
      <c r="O301" s="8"/>
      <c r="P301" s="8"/>
    </row>
    <row r="302" spans="13:16">
      <c r="M302" s="96"/>
      <c r="N302" s="97"/>
      <c r="O302" s="8"/>
      <c r="P302" s="8"/>
    </row>
    <row r="303" spans="13:16">
      <c r="M303" s="96"/>
      <c r="N303" s="97"/>
      <c r="O303" s="8"/>
      <c r="P303" s="8"/>
    </row>
    <row r="304" spans="13:16">
      <c r="M304" s="96"/>
      <c r="N304" s="97"/>
      <c r="O304" s="8"/>
      <c r="P304" s="8"/>
    </row>
    <row r="305" spans="13:16">
      <c r="M305" s="96"/>
      <c r="N305" s="97"/>
      <c r="O305" s="8"/>
      <c r="P305" s="8"/>
    </row>
    <row r="306" spans="13:16">
      <c r="M306" s="96"/>
      <c r="N306" s="97"/>
      <c r="O306" s="8"/>
      <c r="P306" s="8"/>
    </row>
    <row r="307" spans="13:16">
      <c r="M307" s="96"/>
      <c r="N307" s="97"/>
      <c r="O307" s="8"/>
      <c r="P307" s="8"/>
    </row>
    <row r="308" spans="13:16">
      <c r="M308" s="96"/>
      <c r="N308" s="97"/>
      <c r="O308" s="8"/>
      <c r="P308" s="8"/>
    </row>
    <row r="309" spans="13:16">
      <c r="M309" s="96"/>
      <c r="N309" s="97"/>
      <c r="O309" s="8"/>
      <c r="P309" s="8"/>
    </row>
    <row r="310" spans="13:16">
      <c r="M310" s="96"/>
      <c r="N310" s="97"/>
      <c r="O310" s="8"/>
      <c r="P310" s="8"/>
    </row>
    <row r="311" spans="13:16">
      <c r="M311" s="96"/>
      <c r="N311" s="97"/>
      <c r="O311" s="8"/>
      <c r="P311" s="8"/>
    </row>
    <row r="312" spans="13:16">
      <c r="M312" s="96"/>
      <c r="N312" s="97"/>
      <c r="O312" s="8"/>
      <c r="P312" s="8"/>
    </row>
    <row r="313" spans="13:16">
      <c r="M313" s="96"/>
      <c r="N313" s="97"/>
      <c r="O313" s="8"/>
      <c r="P313" s="8"/>
    </row>
    <row r="314" spans="13:16">
      <c r="M314" s="96"/>
      <c r="N314" s="97"/>
      <c r="O314" s="8"/>
      <c r="P314" s="8"/>
    </row>
    <row r="315" spans="13:16">
      <c r="M315" s="96"/>
      <c r="N315" s="97"/>
      <c r="O315" s="8"/>
      <c r="P315" s="8"/>
    </row>
    <row r="316" spans="13:16">
      <c r="M316" s="96"/>
      <c r="N316" s="97"/>
      <c r="O316" s="8"/>
      <c r="P316" s="8"/>
    </row>
    <row r="317" spans="13:16">
      <c r="M317" s="96"/>
      <c r="N317" s="97"/>
      <c r="O317" s="8"/>
      <c r="P317" s="8"/>
    </row>
    <row r="318" spans="13:16">
      <c r="M318" s="96"/>
      <c r="N318" s="97"/>
      <c r="O318" s="8"/>
      <c r="P318" s="8"/>
    </row>
    <row r="319" spans="13:16">
      <c r="M319" s="96"/>
      <c r="N319" s="97"/>
      <c r="O319" s="8"/>
      <c r="P319" s="8"/>
    </row>
    <row r="320" spans="13:16">
      <c r="M320" s="96"/>
      <c r="N320" s="97"/>
      <c r="O320" s="8"/>
      <c r="P320" s="8"/>
    </row>
    <row r="321" spans="13:16">
      <c r="M321" s="96"/>
      <c r="N321" s="97"/>
      <c r="O321" s="8"/>
      <c r="P321" s="8"/>
    </row>
    <row r="322" spans="13:16">
      <c r="M322" s="96"/>
      <c r="N322" s="97"/>
      <c r="O322" s="8"/>
      <c r="P322" s="8"/>
    </row>
    <row r="323" spans="13:16">
      <c r="M323" s="96"/>
      <c r="N323" s="97"/>
      <c r="O323" s="8"/>
      <c r="P323" s="8"/>
    </row>
    <row r="324" spans="13:16">
      <c r="M324" s="96"/>
      <c r="N324" s="97"/>
      <c r="O324" s="8"/>
      <c r="P324" s="8"/>
    </row>
    <row r="325" spans="13:16">
      <c r="M325" s="96"/>
      <c r="N325" s="97"/>
      <c r="O325" s="8"/>
      <c r="P325" s="8"/>
    </row>
    <row r="326" spans="13:16">
      <c r="M326" s="96"/>
      <c r="N326" s="97"/>
      <c r="O326" s="8"/>
      <c r="P326" s="8"/>
    </row>
    <row r="327" spans="13:16">
      <c r="M327" s="96"/>
      <c r="N327" s="97"/>
      <c r="O327" s="8"/>
      <c r="P327" s="8"/>
    </row>
    <row r="328" spans="13:16">
      <c r="M328" s="96"/>
      <c r="N328" s="97"/>
      <c r="O328" s="8"/>
      <c r="P328" s="8"/>
    </row>
    <row r="329" spans="13:16">
      <c r="M329" s="96"/>
      <c r="N329" s="97"/>
      <c r="O329" s="8"/>
      <c r="P329" s="8"/>
    </row>
    <row r="330" spans="13:16">
      <c r="M330" s="96"/>
      <c r="N330" s="97"/>
      <c r="O330" s="8"/>
      <c r="P330" s="8"/>
    </row>
    <row r="331" spans="13:16">
      <c r="M331" s="96"/>
      <c r="N331" s="97"/>
      <c r="O331" s="8"/>
      <c r="P331" s="8"/>
    </row>
    <row r="332" spans="13:16">
      <c r="M332" s="96"/>
      <c r="N332" s="97"/>
      <c r="O332" s="8"/>
      <c r="P332" s="8"/>
    </row>
    <row r="333" spans="13:16">
      <c r="M333" s="96"/>
      <c r="N333" s="97"/>
      <c r="O333" s="8"/>
      <c r="P333" s="8"/>
    </row>
    <row r="334" spans="13:16">
      <c r="M334" s="96"/>
      <c r="N334" s="97"/>
      <c r="O334" s="8"/>
      <c r="P334" s="8"/>
    </row>
    <row r="335" spans="13:16">
      <c r="M335" s="96"/>
      <c r="N335" s="97"/>
      <c r="O335" s="8"/>
      <c r="P335" s="8"/>
    </row>
    <row r="336" spans="13:16">
      <c r="M336" s="96"/>
      <c r="N336" s="97"/>
      <c r="O336" s="8"/>
      <c r="P336" s="8"/>
    </row>
    <row r="337" spans="13:16">
      <c r="M337" s="96"/>
      <c r="N337" s="97"/>
      <c r="O337" s="8"/>
      <c r="P337" s="8"/>
    </row>
    <row r="338" spans="13:16">
      <c r="M338" s="96"/>
      <c r="N338" s="97"/>
      <c r="O338" s="8"/>
      <c r="P338" s="8"/>
    </row>
    <row r="339" spans="13:16">
      <c r="M339" s="96"/>
      <c r="N339" s="97"/>
      <c r="O339" s="8"/>
      <c r="P339" s="8"/>
    </row>
    <row r="340" spans="13:16">
      <c r="M340" s="96"/>
      <c r="N340" s="97"/>
      <c r="O340" s="8"/>
      <c r="P340" s="8"/>
    </row>
    <row r="341" spans="13:16">
      <c r="M341" s="96"/>
      <c r="N341" s="97"/>
      <c r="O341" s="8"/>
      <c r="P341" s="8"/>
    </row>
    <row r="342" spans="13:16">
      <c r="M342" s="96"/>
      <c r="N342" s="97"/>
      <c r="O342" s="8"/>
      <c r="P342" s="8"/>
    </row>
    <row r="343" spans="13:16">
      <c r="M343" s="96"/>
      <c r="N343" s="97"/>
      <c r="O343" s="8"/>
      <c r="P343" s="8"/>
    </row>
    <row r="344" spans="13:16">
      <c r="M344" s="96"/>
      <c r="N344" s="97"/>
      <c r="O344" s="8"/>
      <c r="P344" s="8"/>
    </row>
    <row r="345" spans="13:16">
      <c r="M345" s="96"/>
      <c r="N345" s="97"/>
      <c r="O345" s="8"/>
      <c r="P345" s="8"/>
    </row>
    <row r="346" spans="13:16">
      <c r="M346" s="96"/>
      <c r="N346" s="97"/>
      <c r="O346" s="8"/>
      <c r="P346" s="8"/>
    </row>
    <row r="347" spans="13:16">
      <c r="M347" s="96"/>
      <c r="N347" s="97"/>
      <c r="O347" s="8"/>
      <c r="P347" s="8"/>
    </row>
    <row r="348" spans="13:16">
      <c r="M348" s="96"/>
      <c r="N348" s="97"/>
      <c r="O348" s="8"/>
      <c r="P348" s="8"/>
    </row>
    <row r="349" spans="13:16">
      <c r="M349" s="96"/>
      <c r="N349" s="97"/>
      <c r="O349" s="8"/>
      <c r="P349" s="8"/>
    </row>
    <row r="350" spans="13:16">
      <c r="M350" s="96"/>
      <c r="N350" s="97"/>
      <c r="O350" s="8"/>
      <c r="P350" s="8"/>
    </row>
    <row r="351" spans="13:16">
      <c r="M351" s="96"/>
      <c r="N351" s="97"/>
      <c r="O351" s="8"/>
      <c r="P351" s="8"/>
    </row>
    <row r="352" spans="13:16">
      <c r="M352" s="96"/>
      <c r="N352" s="97"/>
      <c r="O352" s="8"/>
      <c r="P352" s="8"/>
    </row>
    <row r="353" spans="13:16">
      <c r="M353" s="96"/>
      <c r="N353" s="97"/>
      <c r="O353" s="8"/>
      <c r="P353" s="8"/>
    </row>
    <row r="354" spans="13:16">
      <c r="M354" s="96"/>
      <c r="N354" s="97"/>
      <c r="O354" s="8"/>
      <c r="P354" s="8"/>
    </row>
    <row r="355" spans="13:16">
      <c r="M355" s="96"/>
      <c r="N355" s="97"/>
      <c r="O355" s="8"/>
      <c r="P355" s="8"/>
    </row>
    <row r="356" spans="13:16">
      <c r="M356" s="96"/>
      <c r="N356" s="97"/>
      <c r="O356" s="8"/>
      <c r="P356" s="8"/>
    </row>
    <row r="357" spans="13:16">
      <c r="M357" s="96"/>
      <c r="N357" s="97"/>
      <c r="O357" s="8"/>
      <c r="P357" s="8"/>
    </row>
    <row r="358" spans="13:16">
      <c r="M358" s="96"/>
      <c r="N358" s="97"/>
      <c r="O358" s="8"/>
      <c r="P358" s="8"/>
    </row>
    <row r="359" spans="13:16">
      <c r="M359" s="96"/>
      <c r="N359" s="97"/>
      <c r="O359" s="8"/>
      <c r="P359" s="8"/>
    </row>
    <row r="360" spans="13:16">
      <c r="M360" s="96"/>
      <c r="N360" s="97"/>
      <c r="O360" s="8"/>
      <c r="P360" s="8"/>
    </row>
    <row r="361" spans="13:16">
      <c r="M361" s="96"/>
      <c r="N361" s="97"/>
      <c r="O361" s="8"/>
      <c r="P361" s="8"/>
    </row>
    <row r="362" spans="13:16">
      <c r="M362" s="96"/>
      <c r="N362" s="97"/>
      <c r="O362" s="8"/>
      <c r="P362" s="8"/>
    </row>
    <row r="363" spans="13:16">
      <c r="M363" s="96"/>
      <c r="N363" s="97"/>
      <c r="O363" s="8"/>
      <c r="P363" s="8"/>
    </row>
    <row r="364" spans="13:16">
      <c r="N364" s="98"/>
      <c r="O364" s="99"/>
      <c r="P364" s="99"/>
    </row>
  </sheetData>
  <mergeCells count="98">
    <mergeCell ref="B1:M1"/>
    <mergeCell ref="B2:M2"/>
    <mergeCell ref="G3:H3"/>
    <mergeCell ref="K3:M3"/>
    <mergeCell ref="B33:M33"/>
    <mergeCell ref="B41:M41"/>
    <mergeCell ref="B55:M55"/>
    <mergeCell ref="B60:M60"/>
    <mergeCell ref="B64:M64"/>
    <mergeCell ref="B71:M71"/>
    <mergeCell ref="B88:M88"/>
    <mergeCell ref="B91:M91"/>
    <mergeCell ref="B112:M112"/>
    <mergeCell ref="B131:M131"/>
    <mergeCell ref="B149:M149"/>
    <mergeCell ref="B155:M155"/>
    <mergeCell ref="B157:M157"/>
    <mergeCell ref="B159:M159"/>
    <mergeCell ref="B162:M162"/>
    <mergeCell ref="B167:M167"/>
    <mergeCell ref="B172:M172"/>
    <mergeCell ref="B177:M177"/>
    <mergeCell ref="B183:M183"/>
    <mergeCell ref="B187:M187"/>
    <mergeCell ref="B3:B4"/>
    <mergeCell ref="B72:B73"/>
    <mergeCell ref="B74:B75"/>
    <mergeCell ref="B76:B77"/>
    <mergeCell ref="B78:B79"/>
    <mergeCell ref="B80:B81"/>
    <mergeCell ref="B82:B83"/>
    <mergeCell ref="B84:B85"/>
    <mergeCell ref="B86:B87"/>
    <mergeCell ref="C3:C4"/>
    <mergeCell ref="C72:C73"/>
    <mergeCell ref="C74:C75"/>
    <mergeCell ref="C76:C77"/>
    <mergeCell ref="C78:C79"/>
    <mergeCell ref="C80:C81"/>
    <mergeCell ref="C82:C83"/>
    <mergeCell ref="C84:C85"/>
    <mergeCell ref="C86:C87"/>
    <mergeCell ref="D3:D4"/>
    <mergeCell ref="E3:E4"/>
    <mergeCell ref="E72:E73"/>
    <mergeCell ref="E74:E75"/>
    <mergeCell ref="E76:E77"/>
    <mergeCell ref="E78:E79"/>
    <mergeCell ref="E80:E81"/>
    <mergeCell ref="E82:E83"/>
    <mergeCell ref="E84:E85"/>
    <mergeCell ref="E86:E87"/>
    <mergeCell ref="E89:E90"/>
    <mergeCell ref="F3:F4"/>
    <mergeCell ref="F72:F73"/>
    <mergeCell ref="F74:F75"/>
    <mergeCell ref="F76:F77"/>
    <mergeCell ref="F78:F79"/>
    <mergeCell ref="F80:F81"/>
    <mergeCell ref="F82:F83"/>
    <mergeCell ref="F84:F85"/>
    <mergeCell ref="F86:F87"/>
    <mergeCell ref="G72:G73"/>
    <mergeCell ref="G74:G75"/>
    <mergeCell ref="G76:G77"/>
    <mergeCell ref="G78:G79"/>
    <mergeCell ref="G80:G81"/>
    <mergeCell ref="G82:G83"/>
    <mergeCell ref="G84:G85"/>
    <mergeCell ref="G86:G87"/>
    <mergeCell ref="H72:H73"/>
    <mergeCell ref="H74:H75"/>
    <mergeCell ref="H76:H77"/>
    <mergeCell ref="H78:H79"/>
    <mergeCell ref="H80:H81"/>
    <mergeCell ref="H82:H83"/>
    <mergeCell ref="H84:H85"/>
    <mergeCell ref="H86:H87"/>
    <mergeCell ref="I3:I4"/>
    <mergeCell ref="I72:I73"/>
    <mergeCell ref="I74:I75"/>
    <mergeCell ref="I76:I77"/>
    <mergeCell ref="I78:I79"/>
    <mergeCell ref="I80:I81"/>
    <mergeCell ref="I82:I83"/>
    <mergeCell ref="I84:I85"/>
    <mergeCell ref="I86:I87"/>
    <mergeCell ref="J3:J4"/>
    <mergeCell ref="J74:J75"/>
    <mergeCell ref="J76:J77"/>
    <mergeCell ref="J78:J79"/>
    <mergeCell ref="J80:J81"/>
    <mergeCell ref="J82:J83"/>
    <mergeCell ref="J84:J85"/>
    <mergeCell ref="J86:J87"/>
    <mergeCell ref="N3:N4"/>
    <mergeCell ref="O3:O4"/>
    <mergeCell ref="P3:P4"/>
  </mergeCells>
  <pageMargins left="0.7" right="0.7" top="0.75" bottom="0.75" header="0.3" footer="0.3"/>
  <pageSetup paperSize="1" scale="10" orientation="portrait"/>
  <headerFooter/>
  <colBreaks count="1" manualBreakCount="1">
    <brk id="13" max="1048575" man="1"/>
  </colBreaks>
  <drawing r:id="rId1"/>
</worksheet>
</file>

<file path=docProps/app.xml><?xml version="1.0" encoding="utf-8"?>
<Properties xmlns="http://schemas.openxmlformats.org/officeDocument/2006/extended-properties" xmlns:vt="http://schemas.openxmlformats.org/officeDocument/2006/docPropsVTypes">
  <Application>WPS Sheets</Application>
  <HeadingPairs>
    <vt:vector size="2" baseType="variant">
      <vt:variant>
        <vt:lpstr>工作表</vt:lpstr>
      </vt:variant>
      <vt:variant>
        <vt:i4>1</vt:i4>
      </vt:variant>
    </vt:vector>
  </HeadingPairs>
  <TitlesOfParts>
    <vt:vector size="1" baseType="lpstr">
      <vt:lpstr>Office Furniture (2)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2026-06-23T10:50:00Z</dcterms:created>
  <dcterms:modified xsi:type="dcterms:W3CDTF">2026-06-24T09:31:47Z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8F9A843C6CE44F82A4F5AE9F60A4DCA9_11</vt:lpwstr>
  </property>
  <property fmtid="{D5CDD505-2E9C-101B-9397-08002B2CF9AE}" pid="3" name="KSOProductBuildVer">
    <vt:lpwstr>1033-12.1.0.26880</vt:lpwstr>
  </property>
  <property fmtid="{D5CDD505-2E9C-101B-9397-08002B2CF9AE}" pid="4" name="CalculationRule">
    <vt:i4>1</vt:i4>
  </property>
</Properties>
</file>